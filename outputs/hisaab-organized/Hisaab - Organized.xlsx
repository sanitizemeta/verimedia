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24-25" sheetId="2" state="visible" r:id="rId2"/>
    <sheet xmlns:r="http://schemas.openxmlformats.org/officeDocument/2006/relationships" name="25-26" sheetId="3" state="visible" r:id="rId3"/>
    <sheet xmlns:r="http://schemas.openxmlformats.org/officeDocument/2006/relationships" name="Expenditure" sheetId="4" state="visible" r:id="rId4"/>
    <sheet xmlns:r="http://schemas.openxmlformats.org/officeDocument/2006/relationships" name="theka" sheetId="5" state="visible" r:id="rId5"/>
    <sheet xmlns:r="http://schemas.openxmlformats.org/officeDocument/2006/relationships" name="Next Year Allotted" sheetId="6" state="visible" r:id="rId6"/>
    <sheet xmlns:r="http://schemas.openxmlformats.org/officeDocument/2006/relationships" name="2024 Left" sheetId="7" state="visible" r:id="rId7"/>
    <sheet xmlns:r="http://schemas.openxmlformats.org/officeDocument/2006/relationships" name="Misc Amount" sheetId="8" state="visible" r:id="rId8"/>
    <sheet xmlns:r="http://schemas.openxmlformats.org/officeDocument/2006/relationships" name="Misc Notes" sheetId="9" state="visible" r:id="rId9"/>
    <sheet xmlns:r="http://schemas.openxmlformats.org/officeDocument/2006/relationships" name="Outstanding" sheetId="10" state="visible" r:id="rId10"/>
  </sheets>
  <definedNames>
    <definedName name="_xlnm._FilterDatabase" localSheetId="1" hidden="1">'24-25'!$A$1:$H$72</definedName>
    <definedName name="_xlnm._FilterDatabase" localSheetId="2" hidden="1">'25-26'!$A$1:$E$2</definedName>
    <definedName name="_xlnm._FilterDatabase" localSheetId="3" hidden="1">'Expenditure'!$A$1:$F$39</definedName>
    <definedName name="_xlnm._FilterDatabase" localSheetId="4" hidden="1">'theka'!$A$1:$C$13</definedName>
    <definedName name="_xlnm._FilterDatabase" localSheetId="5" hidden="1">'Next Year Allotted'!$A$1:$D$8</definedName>
    <definedName name="_xlnm._FilterDatabase" localSheetId="6" hidden="1">'2024 Left'!$A$1:$D$3</definedName>
    <definedName name="_xlnm._FilterDatabase" localSheetId="8" hidden="1">'Misc Notes'!$A$1:$B$4</definedName>
    <definedName name="_xlnm._FilterDatabase" localSheetId="9" hidden="1">'Outstanding'!$A$1:$B$5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&quot;-&quot;mmm&quot;-&quot;yyyy"/>
    <numFmt numFmtId="165" formatCode="[$₹]#,##0.00"/>
    <numFmt numFmtId="166" formatCode="mmmm d yyyy"/>
    <numFmt numFmtId="167" formatCode="[$₹]#,##0"/>
    <numFmt numFmtId="168" formatCode="m-d-yyyy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strike val="1"/>
      <color theme="1"/>
      <scheme val="minor"/>
    </font>
    <font>
      <name val="Arial"/>
      <color rgb="FFFFFFFF"/>
      <scheme val="minor"/>
    </font>
    <font>
      <name val="Arial"/>
      <b val="1"/>
      <color rgb="FFFF0000"/>
      <scheme val="minor"/>
    </font>
    <font>
      <b val="1"/>
      <color rgb="00FFFFFF"/>
    </font>
    <font>
      <b val="1"/>
      <color rgb="001F4E78"/>
      <sz val="18"/>
    </font>
    <font>
      <i val="1"/>
      <color rgb="00666666"/>
    </font>
    <font>
      <b val="1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5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4" fontId="1" fillId="0" borderId="0" pivotButton="0" quotePrefix="0" xfId="0"/>
    <xf numFmtId="165" fontId="1" fillId="0" borderId="0" pivotButton="0" quotePrefix="0" xfId="0"/>
    <xf numFmtId="164" fontId="1" fillId="0" borderId="1" pivotButton="0" quotePrefix="0" xfId="0"/>
    <xf numFmtId="165" fontId="1" fillId="0" borderId="1" pivotButton="0" quotePrefix="0" xfId="0"/>
    <xf numFmtId="165" fontId="1" fillId="0" borderId="1" pivotButton="0" quotePrefix="0" xfId="0"/>
    <xf numFmtId="0" fontId="1" fillId="0" borderId="1" pivotButton="0" quotePrefix="0" xfId="0"/>
    <xf numFmtId="165" fontId="2" fillId="2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5" fontId="1" fillId="2" borderId="0" pivotButton="0" quotePrefix="0" xfId="0"/>
    <xf numFmtId="165" fontId="3" fillId="0" borderId="0" pivotButton="0" quotePrefix="0" xfId="0"/>
    <xf numFmtId="166" fontId="1" fillId="0" borderId="0" pivotButton="0" quotePrefix="0" xfId="0"/>
    <xf numFmtId="0" fontId="1" fillId="0" borderId="0" pivotButton="0" quotePrefix="0" xfId="0"/>
    <xf numFmtId="167" fontId="1" fillId="0" borderId="0" pivotButton="0" quotePrefix="0" xfId="0"/>
    <xf numFmtId="167" fontId="2" fillId="0" borderId="0" pivotButton="0" quotePrefix="0" xfId="0"/>
    <xf numFmtId="167" fontId="1" fillId="0" borderId="0" pivotButton="0" quotePrefix="0" xfId="0"/>
    <xf numFmtId="167" fontId="4" fillId="3" borderId="0" pivotButton="0" quotePrefix="0" xfId="0"/>
    <xf numFmtId="4" fontId="1" fillId="0" borderId="0" pivotButton="0" quotePrefix="0" xfId="0"/>
    <xf numFmtId="167" fontId="5" fillId="0" borderId="0" pivotButton="0" quotePrefix="0" xfId="0"/>
    <xf numFmtId="168" fontId="1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4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0" fontId="9" fillId="5" borderId="2" pivotButton="0" quotePrefix="0" xfId="0"/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vertical="top" wrapText="1"/>
    </xf>
    <xf numFmtId="3" fontId="1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165" fontId="1" fillId="0" borderId="2" applyAlignment="1" pivotButton="0" quotePrefix="0" xfId="0">
      <alignment vertical="top" wrapText="1"/>
    </xf>
    <xf numFmtId="3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3" fontId="2" fillId="2" borderId="2" applyAlignment="1" pivotButton="0" quotePrefix="0" xfId="0">
      <alignment vertical="top" wrapText="1"/>
    </xf>
    <xf numFmtId="3" fontId="3" fillId="0" borderId="2" applyAlignment="1" pivotButton="0" quotePrefix="0" xfId="0">
      <alignment vertical="top" wrapText="1"/>
    </xf>
    <xf numFmtId="3" fontId="1" fillId="2" borderId="2" applyAlignment="1" pivotButton="0" quotePrefix="0" xfId="0">
      <alignment vertical="top" wrapText="1"/>
    </xf>
    <xf numFmtId="166" fontId="1" fillId="0" borderId="2" applyAlignment="1" pivotButton="0" quotePrefix="0" xfId="0">
      <alignment vertical="top" wrapText="1"/>
    </xf>
    <xf numFmtId="167" fontId="6" fillId="4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vertical="top" wrapText="1"/>
    </xf>
    <xf numFmtId="167" fontId="1" fillId="0" borderId="2" applyAlignment="1" pivotButton="0" quotePrefix="0" xfId="0">
      <alignment vertical="top" wrapText="1"/>
    </xf>
    <xf numFmtId="3" fontId="5" fillId="0" borderId="2" applyAlignment="1" pivotButton="0" quotePrefix="0" xfId="0">
      <alignment vertical="top" wrapText="1"/>
    </xf>
    <xf numFmtId="168" fontId="1" fillId="0" borderId="2" applyAlignment="1" pivotButton="0" quotePrefix="0" xfId="0">
      <alignment vertical="top" wrapText="1"/>
    </xf>
    <xf numFmtId="3" fontId="6" fillId="4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38" min="1" max="1"/>
    <col width="48" customWidth="1" style="38" min="2" max="2"/>
    <col width="16" customWidth="1" style="38" min="3" max="3"/>
    <col width="28" customWidth="1" style="38" min="4" max="4"/>
  </cols>
  <sheetData>
    <row r="1">
      <c r="A1" s="39" t="inlineStr">
        <is>
          <t>Hisaab Overview</t>
        </is>
      </c>
    </row>
    <row r="2">
      <c r="A2" s="40" t="inlineStr">
        <is>
          <t>Organized summary of rent received, expenses, balances, and notes.</t>
        </is>
      </c>
    </row>
    <row r="4">
      <c r="A4" s="41" t="inlineStr">
        <is>
          <t>Section</t>
        </is>
      </c>
      <c r="B4" s="41" t="inlineStr">
        <is>
          <t>Source</t>
        </is>
      </c>
      <c r="C4" s="41" t="inlineStr">
        <is>
          <t>Total</t>
        </is>
      </c>
      <c r="D4" s="41" t="inlineStr">
        <is>
          <t>Notes</t>
        </is>
      </c>
    </row>
    <row r="5">
      <c r="A5" s="42" t="inlineStr">
        <is>
          <t>Rent Received 24-25</t>
        </is>
      </c>
      <c r="B5" s="42" t="inlineStr">
        <is>
          <t>24-25!C:C</t>
        </is>
      </c>
      <c r="C5" s="43">
        <f>SUM('24-25'!C:C)</f>
        <v/>
      </c>
      <c r="D5" s="42" t="inlineStr">
        <is>
          <t>Given Rent column</t>
        </is>
      </c>
    </row>
    <row r="6">
      <c r="A6" s="42" t="inlineStr">
        <is>
          <t>Rent Received 25-26</t>
        </is>
      </c>
      <c r="B6" s="42" t="inlineStr">
        <is>
          <t>25-26!C:C</t>
        </is>
      </c>
      <c r="C6" s="43">
        <f>SUM('25-26'!C:C)</f>
        <v/>
      </c>
      <c r="D6" s="42" t="inlineStr">
        <is>
          <t>Given Rent column</t>
        </is>
      </c>
    </row>
    <row r="7">
      <c r="A7" s="42" t="inlineStr">
        <is>
          <t>Expense - All 3</t>
        </is>
      </c>
      <c r="B7" s="42" t="inlineStr">
        <is>
          <t>Expenditure!B:B</t>
        </is>
      </c>
      <c r="C7" s="43">
        <f>SUM(Expenditure!B:B)</f>
        <v/>
      </c>
      <c r="D7" s="42" t="inlineStr">
        <is>
          <t>Shared expenses</t>
        </is>
      </c>
    </row>
    <row r="8">
      <c r="A8" s="42" t="inlineStr">
        <is>
          <t>Expense - Happy and Dad</t>
        </is>
      </c>
      <c r="B8" s="42" t="inlineStr">
        <is>
          <t>Expenditure!D:D</t>
        </is>
      </c>
      <c r="C8" s="43">
        <f>SUM(Expenditure!D:D)</f>
        <v/>
      </c>
      <c r="D8" s="42" t="inlineStr">
        <is>
          <t>Happy and Dad expenses</t>
        </is>
      </c>
    </row>
    <row r="9">
      <c r="A9" s="42" t="inlineStr">
        <is>
          <t>Next Year Allotted</t>
        </is>
      </c>
      <c r="B9" s="42" t="inlineStr">
        <is>
          <t>Next Year Allotted!A:A</t>
        </is>
      </c>
      <c r="C9" s="43">
        <f>SUM('Next Year Allotted'!A:A)</f>
        <v/>
      </c>
      <c r="D9" s="42" t="inlineStr">
        <is>
          <t>Future allotted amounts</t>
        </is>
      </c>
    </row>
    <row r="10">
      <c r="A10" s="42" t="inlineStr">
        <is>
          <t>2024 Left</t>
        </is>
      </c>
      <c r="B10" s="42" t="inlineStr">
        <is>
          <t>2024 Left!D:D</t>
        </is>
      </c>
      <c r="C10" s="43">
        <f>SUM('2024 Left'!D:D)</f>
        <v/>
      </c>
      <c r="D10" s="42" t="inlineStr">
        <is>
          <t>Left column</t>
        </is>
      </c>
    </row>
    <row r="11">
      <c r="A11" s="42" t="inlineStr">
        <is>
          <t>Outstanding</t>
        </is>
      </c>
      <c r="B11" s="42" t="inlineStr">
        <is>
          <t>Outstanding!B:B</t>
        </is>
      </c>
      <c r="C11" s="43">
        <f>SUM(Outstanding!B:B)</f>
        <v/>
      </c>
      <c r="D11" s="42" t="inlineStr">
        <is>
          <t>Outstanding list</t>
        </is>
      </c>
    </row>
    <row r="12">
      <c r="A12" s="42" t="inlineStr">
        <is>
          <t>Theka Duggal Total</t>
        </is>
      </c>
      <c r="B12" s="42" t="inlineStr">
        <is>
          <t>theka!B5</t>
        </is>
      </c>
      <c r="C12" s="43">
        <f>'theka'!B5</f>
        <v/>
      </c>
      <c r="D12" s="42" t="inlineStr">
        <is>
          <t>Duggal sum</t>
        </is>
      </c>
    </row>
    <row r="13">
      <c r="A13" s="42" t="inlineStr">
        <is>
          <t>Theka Daska Total</t>
        </is>
      </c>
      <c r="B13" s="42" t="inlineStr">
        <is>
          <t>theka!C5</t>
        </is>
      </c>
      <c r="C13" s="43">
        <f>'theka'!C5</f>
        <v/>
      </c>
      <c r="D13" s="42" t="inlineStr">
        <is>
          <t>Daska sum</t>
        </is>
      </c>
    </row>
    <row r="16">
      <c r="A16" s="44" t="inlineStr">
        <is>
          <t>Workbook Tabs</t>
        </is>
      </c>
      <c r="B16" s="44" t="inlineStr">
        <is>
          <t>Purpose</t>
        </is>
      </c>
    </row>
    <row r="17">
      <c r="A17" s="42" t="inlineStr">
        <is>
          <t>24-25</t>
        </is>
      </c>
      <c r="B17" s="42" t="inlineStr">
        <is>
          <t>Rent ledger for financial year 2024-25</t>
        </is>
      </c>
    </row>
    <row r="18">
      <c r="A18" s="42" t="inlineStr">
        <is>
          <t>25-26</t>
        </is>
      </c>
      <c r="B18" s="42" t="inlineStr">
        <is>
          <t>Rent ledger for financial year 2025-26</t>
        </is>
      </c>
    </row>
    <row r="19">
      <c r="A19" s="42" t="inlineStr">
        <is>
          <t>Expenditure</t>
        </is>
      </c>
      <c r="B19" s="42" t="inlineStr">
        <is>
          <t>Expense records split by category</t>
        </is>
      </c>
    </row>
    <row r="20">
      <c r="A20" s="42" t="inlineStr">
        <is>
          <t>theka</t>
        </is>
      </c>
      <c r="B20" s="42" t="inlineStr">
        <is>
          <t>Theka calculation and settlement notes</t>
        </is>
      </c>
    </row>
    <row r="21">
      <c r="A21" s="42" t="inlineStr">
        <is>
          <t>Next Year Allotted</t>
        </is>
      </c>
      <c r="B21" s="42" t="inlineStr">
        <is>
          <t>Amounts to be given next year</t>
        </is>
      </c>
    </row>
    <row r="22">
      <c r="A22" s="42" t="inlineStr">
        <is>
          <t>2024 Left</t>
        </is>
      </c>
      <c r="B22" s="42" t="inlineStr">
        <is>
          <t>Remaining balances from 2024</t>
        </is>
      </c>
    </row>
    <row r="23">
      <c r="A23" s="42" t="inlineStr">
        <is>
          <t>Misc Amount</t>
        </is>
      </c>
      <c r="B23" s="42" t="inlineStr">
        <is>
          <t>Single miscellaneous amount</t>
        </is>
      </c>
    </row>
    <row r="24">
      <c r="A24" s="42" t="inlineStr">
        <is>
          <t>Misc Notes</t>
        </is>
      </c>
      <c r="B24" s="42" t="inlineStr">
        <is>
          <t>Short miscellaneous payment notes</t>
        </is>
      </c>
    </row>
    <row r="25">
      <c r="A25" s="42" t="inlineStr">
        <is>
          <t>Outstanding</t>
        </is>
      </c>
      <c r="B25" s="42" t="inlineStr">
        <is>
          <t>Outstanding/remaining items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H7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" customWidth="1" style="38" min="1" max="1"/>
    <col width="14" customWidth="1" style="38" min="2" max="2"/>
    <col width="14" customWidth="1" style="38" min="3" max="3"/>
    <col width="33" customWidth="1" style="38" min="4" max="4"/>
    <col width="19" customWidth="1" style="38" min="5" max="5"/>
    <col width="14" customWidth="1" style="38" min="6" max="6"/>
    <col width="14" customWidth="1" style="38" min="7" max="7"/>
    <col width="14" customWidth="1" style="38" min="8" max="8"/>
  </cols>
  <sheetData>
    <row r="1">
      <c r="A1" s="45" t="inlineStr">
        <is>
          <t>Date</t>
        </is>
      </c>
      <c r="B1" s="46" t="inlineStr">
        <is>
          <t>Alotted Rent</t>
        </is>
      </c>
      <c r="C1" s="46" t="inlineStr">
        <is>
          <t>Given Rent</t>
        </is>
      </c>
      <c r="D1" s="47" t="inlineStr">
        <is>
          <t>From?</t>
        </is>
      </c>
      <c r="E1" s="46" t="inlineStr">
        <is>
          <t>Name</t>
        </is>
      </c>
    </row>
    <row r="2">
      <c r="A2" s="48" t="n">
        <v>45494</v>
      </c>
      <c r="B2" s="19" t="n"/>
      <c r="C2" s="49" t="n">
        <v>77000</v>
      </c>
      <c r="D2" s="50" t="inlineStr">
        <is>
          <t>Harigarh Wale Ne Ditte</t>
        </is>
      </c>
      <c r="E2" s="51" t="inlineStr">
        <is>
          <t>Malwa Collection</t>
        </is>
      </c>
    </row>
    <row r="3">
      <c r="A3" s="48" t="inlineStr">
        <is>
          <t>12-Sept-2024</t>
        </is>
      </c>
      <c r="B3" s="19" t="n"/>
      <c r="C3" s="49" t="n">
        <v>56500</v>
      </c>
      <c r="D3" s="50" t="inlineStr">
        <is>
          <t>Urban touch</t>
        </is>
      </c>
      <c r="E3" s="51" t="inlineStr">
        <is>
          <t>Urban Touch</t>
        </is>
      </c>
    </row>
    <row r="4">
      <c r="A4" s="48" t="inlineStr">
        <is>
          <t>21-Sept-2024</t>
        </is>
      </c>
      <c r="B4" s="19" t="n"/>
      <c r="C4" s="49" t="n">
        <v>50000</v>
      </c>
      <c r="D4" s="50" t="inlineStr">
        <is>
          <t xml:space="preserve">Mobile Chahard - Jutti Market </t>
        </is>
      </c>
      <c r="E4" s="19" t="n"/>
    </row>
    <row r="5">
      <c r="A5" s="48" t="n">
        <v>45655</v>
      </c>
      <c r="B5" s="19" t="n"/>
      <c r="C5" s="49" t="n">
        <v>85000</v>
      </c>
      <c r="D5" s="50" t="inlineStr">
        <is>
          <t>Kadiyal Parlor 99 wali kol</t>
        </is>
      </c>
      <c r="E5" s="19" t="n"/>
    </row>
    <row r="6">
      <c r="A6" s="50" t="inlineStr">
        <is>
          <t>23-1-2025</t>
        </is>
      </c>
      <c r="B6" s="19" t="n"/>
      <c r="C6" s="49" t="n">
        <v>10000</v>
      </c>
      <c r="D6" s="50" t="inlineStr">
        <is>
          <t>Sai - Nikke Kol C Jehdi</t>
        </is>
      </c>
      <c r="E6" s="19" t="n"/>
    </row>
    <row r="7">
      <c r="A7" s="48" t="n">
        <v>45903</v>
      </c>
      <c r="B7" s="19" t="n"/>
      <c r="C7" s="49" t="n">
        <v>5000</v>
      </c>
      <c r="E7" s="19" t="n"/>
    </row>
    <row r="8">
      <c r="A8" s="48" t="n">
        <v>45903</v>
      </c>
      <c r="B8" s="19" t="n"/>
      <c r="C8" s="49" t="n">
        <v>45000</v>
      </c>
      <c r="E8" s="19" t="n"/>
    </row>
    <row r="9">
      <c r="A9" s="48" t="inlineStr">
        <is>
          <t>25-03-2025</t>
        </is>
      </c>
      <c r="B9" s="19" t="n"/>
      <c r="C9" s="49" t="n">
        <v>20000</v>
      </c>
      <c r="E9" s="19" t="n"/>
    </row>
    <row r="10">
      <c r="A10" s="48" t="inlineStr">
        <is>
          <t>25-03-2025</t>
        </is>
      </c>
      <c r="B10" s="19" t="n"/>
      <c r="C10" s="49" t="n">
        <v>100000</v>
      </c>
      <c r="E10" s="19" t="n"/>
    </row>
    <row r="11">
      <c r="A11" s="48" t="inlineStr">
        <is>
          <t>26-03-2025</t>
        </is>
      </c>
      <c r="B11" s="19" t="n"/>
      <c r="C11" s="49" t="n">
        <v>250000</v>
      </c>
      <c r="E11" s="19" t="n"/>
    </row>
    <row r="12">
      <c r="A12" s="48" t="inlineStr">
        <is>
          <t>26-03-2025</t>
        </is>
      </c>
      <c r="B12" s="19" t="n"/>
      <c r="C12" s="49" t="n">
        <v>125000</v>
      </c>
      <c r="E12" s="19" t="n"/>
    </row>
    <row r="13">
      <c r="A13" s="48" t="n">
        <v>45755</v>
      </c>
      <c r="B13" s="19" t="n"/>
      <c r="C13" s="49" t="n">
        <v>250000</v>
      </c>
      <c r="E13" s="19" t="n"/>
    </row>
    <row r="14">
      <c r="A14" s="48" t="n">
        <v>45777</v>
      </c>
      <c r="B14" s="19" t="n"/>
      <c r="C14" s="49" t="n">
        <v>25000</v>
      </c>
      <c r="E14" s="19" t="n"/>
    </row>
    <row r="15">
      <c r="A15" s="48" t="n">
        <v>45778</v>
      </c>
      <c r="B15" s="19" t="n"/>
      <c r="C15" s="49" t="n">
        <v>72000</v>
      </c>
      <c r="E15" s="19" t="n"/>
    </row>
    <row r="16">
      <c r="A16" s="48" t="n">
        <v>45779</v>
      </c>
      <c r="B16" s="19" t="n"/>
      <c r="C16" s="49" t="n">
        <v>170000</v>
      </c>
      <c r="E16" s="19" t="n"/>
    </row>
    <row r="17">
      <c r="A17" s="48" t="n">
        <v>45780</v>
      </c>
      <c r="B17" s="19" t="n"/>
      <c r="C17" s="49" t="n">
        <v>10000</v>
      </c>
      <c r="E17" s="19" t="n"/>
    </row>
    <row r="18">
      <c r="A18" s="48" t="n">
        <v>45785</v>
      </c>
      <c r="B18" s="19" t="n"/>
      <c r="C18" s="49" t="n">
        <v>164000</v>
      </c>
      <c r="E18" s="19" t="n"/>
    </row>
    <row r="19">
      <c r="A19" s="48" t="n">
        <v>45786</v>
      </c>
      <c r="B19" s="19" t="n"/>
      <c r="C19" s="49" t="n">
        <v>180000</v>
      </c>
      <c r="E19" s="19" t="n"/>
    </row>
    <row r="20">
      <c r="A20" s="48" t="n">
        <v>45786</v>
      </c>
      <c r="B20" s="19" t="n"/>
      <c r="C20" s="49" t="n">
        <v>163500</v>
      </c>
      <c r="E20" s="19" t="n"/>
    </row>
    <row r="21">
      <c r="A21" s="48" t="n">
        <v>45787</v>
      </c>
      <c r="B21" s="19" t="n"/>
      <c r="C21" s="49" t="n">
        <v>90000</v>
      </c>
      <c r="E21" s="19" t="n"/>
    </row>
    <row r="22">
      <c r="A22" s="48" t="n">
        <v>45788</v>
      </c>
      <c r="B22" s="19" t="n"/>
      <c r="C22" s="49" t="n">
        <v>45000</v>
      </c>
      <c r="E22" s="19" t="n"/>
    </row>
    <row r="23">
      <c r="A23" s="18" t="n"/>
      <c r="B23" s="19" t="n"/>
      <c r="C23" s="49" t="n">
        <v>88000</v>
      </c>
      <c r="E23" s="19" t="n"/>
    </row>
    <row r="24">
      <c r="A24" s="18" t="n"/>
      <c r="B24" s="19" t="n"/>
      <c r="C24" s="49" t="n">
        <v>120000</v>
      </c>
      <c r="E24" s="19" t="n"/>
    </row>
    <row r="25">
      <c r="A25" s="18" t="n"/>
      <c r="B25" s="19" t="n"/>
      <c r="C25" s="49" t="n">
        <v>165000</v>
      </c>
      <c r="E25" s="19" t="n"/>
    </row>
    <row r="26">
      <c r="A26" s="18" t="n"/>
      <c r="B26" s="19" t="n"/>
      <c r="C26" s="49" t="n">
        <v>165000</v>
      </c>
      <c r="E26" s="19" t="n"/>
    </row>
    <row r="27">
      <c r="A27" s="18" t="n"/>
      <c r="B27" s="19" t="n"/>
      <c r="C27" s="49" t="n">
        <v>275000</v>
      </c>
      <c r="E27" s="19" t="n"/>
    </row>
    <row r="28">
      <c r="A28" s="18" t="n"/>
      <c r="B28" s="19" t="n"/>
      <c r="C28" s="49" t="n">
        <v>275000</v>
      </c>
      <c r="E28" s="19" t="n"/>
    </row>
    <row r="29">
      <c r="A29" s="18" t="n"/>
      <c r="B29" s="19" t="n"/>
      <c r="C29" s="49" t="n">
        <v>100000</v>
      </c>
      <c r="E29" s="19" t="n"/>
    </row>
    <row r="30">
      <c r="A30" s="18" t="n"/>
      <c r="B30" s="19" t="n"/>
      <c r="C30" s="49" t="n">
        <v>275000</v>
      </c>
      <c r="E30" s="19" t="n"/>
    </row>
    <row r="31">
      <c r="A31" s="18" t="n"/>
      <c r="B31" s="19" t="n"/>
      <c r="C31" s="49" t="n">
        <v>130000</v>
      </c>
      <c r="E31" s="19" t="n"/>
    </row>
    <row r="32">
      <c r="A32" s="18" t="n"/>
      <c r="B32" s="19" t="n"/>
      <c r="C32" s="49" t="n">
        <v>245000</v>
      </c>
      <c r="E32" s="19" t="n"/>
    </row>
    <row r="33">
      <c r="A33" s="18" t="n"/>
      <c r="B33" s="19" t="n"/>
      <c r="C33" s="49" t="n">
        <v>100000</v>
      </c>
      <c r="E33" s="19" t="n"/>
    </row>
    <row r="34">
      <c r="A34" s="18" t="n"/>
      <c r="B34" s="19" t="n"/>
      <c r="C34" s="49" t="n">
        <v>25000</v>
      </c>
      <c r="E34" s="19" t="n"/>
    </row>
    <row r="35">
      <c r="A35" s="18" t="n"/>
      <c r="B35" s="19" t="n"/>
      <c r="C35" s="49" t="n">
        <v>48000</v>
      </c>
      <c r="E35" s="19" t="n"/>
    </row>
    <row r="36">
      <c r="A36" s="18" t="n"/>
      <c r="B36" s="19" t="n"/>
      <c r="C36" s="49" t="n">
        <v>121000</v>
      </c>
      <c r="E36" s="19" t="n"/>
    </row>
    <row r="37">
      <c r="A37" s="18" t="n"/>
      <c r="B37" s="19" t="n"/>
      <c r="C37" s="49" t="n">
        <v>50000</v>
      </c>
      <c r="E37" s="19" t="n"/>
    </row>
    <row r="38">
      <c r="A38" s="18" t="n"/>
      <c r="B38" s="19" t="n"/>
      <c r="C38" s="49" t="n">
        <v>30000</v>
      </c>
      <c r="E38" s="19" t="n"/>
    </row>
    <row r="39">
      <c r="A39" s="18" t="n"/>
      <c r="B39" s="19" t="n"/>
      <c r="C39" s="49" t="n">
        <v>50000</v>
      </c>
      <c r="E39" s="19" t="n"/>
    </row>
    <row r="40">
      <c r="A40" s="18" t="n"/>
      <c r="B40" s="19" t="n"/>
      <c r="C40" s="49" t="n">
        <v>40000</v>
      </c>
      <c r="E40" s="19" t="n"/>
    </row>
    <row r="41">
      <c r="A41" s="18" t="n"/>
      <c r="B41" s="19" t="n"/>
      <c r="C41" s="49" t="n">
        <v>75000</v>
      </c>
      <c r="E41" s="19" t="n"/>
    </row>
    <row r="42">
      <c r="A42" s="18" t="n"/>
      <c r="B42" s="19" t="n"/>
      <c r="C42" s="49" t="n">
        <v>50000</v>
      </c>
      <c r="E42" s="19" t="n"/>
    </row>
    <row r="43">
      <c r="A43" s="18" t="n"/>
      <c r="B43" s="19" t="n"/>
      <c r="C43" s="49" t="n">
        <v>12000</v>
      </c>
      <c r="E43" s="19" t="n"/>
    </row>
    <row r="44">
      <c r="A44" s="18" t="n"/>
      <c r="B44" s="19" t="n"/>
      <c r="C44" s="49" t="n">
        <v>42000</v>
      </c>
      <c r="E44" s="19" t="n"/>
    </row>
    <row r="45">
      <c r="A45" s="6" t="n"/>
      <c r="B45" s="25" t="n"/>
      <c r="C45" s="52" t="n">
        <v>61000</v>
      </c>
      <c r="D45" s="53" t="inlineStr">
        <is>
          <t>Daske Wale</t>
        </is>
      </c>
      <c r="E45" s="25" t="n"/>
      <c r="F45" s="11" t="n"/>
      <c r="G45" s="11" t="n"/>
      <c r="H45" s="11" t="n"/>
    </row>
    <row r="46">
      <c r="A46" s="6" t="n"/>
      <c r="B46" s="25" t="n"/>
      <c r="C46" s="52" t="n">
        <v>88000</v>
      </c>
      <c r="D46" s="53" t="inlineStr">
        <is>
          <t>Dugal Wale</t>
        </is>
      </c>
      <c r="E46" s="25" t="n"/>
      <c r="F46" s="11" t="n"/>
      <c r="G46" s="11" t="n"/>
      <c r="H46" s="11" t="n"/>
    </row>
    <row r="47">
      <c r="A47" s="6" t="n"/>
      <c r="B47" s="25" t="n"/>
      <c r="C47" s="52" t="n">
        <v>5000</v>
      </c>
      <c r="D47" s="53" t="inlineStr">
        <is>
          <t>Sayi Daske</t>
        </is>
      </c>
      <c r="E47" s="25" t="n"/>
      <c r="F47" s="11" t="n"/>
      <c r="G47" s="11" t="n"/>
      <c r="H47" s="11" t="n"/>
    </row>
    <row r="48">
      <c r="A48" s="6" t="n"/>
      <c r="B48" s="25" t="n"/>
      <c r="C48" s="52" t="n">
        <v>68000</v>
      </c>
      <c r="D48" s="53" t="inlineStr">
        <is>
          <t>Tehan Wale Kille Da</t>
        </is>
      </c>
      <c r="E48" s="25" t="n"/>
      <c r="F48" s="11" t="n"/>
      <c r="G48" s="11" t="n"/>
      <c r="H48" s="11" t="n"/>
    </row>
    <row r="49">
      <c r="A49" s="12" t="n"/>
      <c r="B49" s="16" t="n"/>
      <c r="C49" s="52">
        <f>SUM(C2:C48)</f>
        <v/>
      </c>
      <c r="D49" s="53" t="inlineStr">
        <is>
          <t>Total Happy</t>
        </is>
      </c>
      <c r="E49" s="16" t="n"/>
      <c r="F49" s="17" t="n"/>
      <c r="G49" s="17" t="n"/>
      <c r="H49" s="17" t="n"/>
    </row>
    <row r="50">
      <c r="A50" s="18" t="n"/>
      <c r="B50" s="19" t="n"/>
      <c r="C50" s="49" t="n">
        <v>45000</v>
      </c>
      <c r="D50" s="50" t="inlineStr">
        <is>
          <t>Reelan Wala Gurcharan</t>
        </is>
      </c>
      <c r="E50" s="51" t="inlineStr">
        <is>
          <t>Next 10% increase</t>
        </is>
      </c>
    </row>
    <row r="51">
      <c r="A51" s="18" t="n"/>
      <c r="B51" s="19" t="n"/>
      <c r="C51" s="49" t="n">
        <v>44000</v>
      </c>
      <c r="D51" s="50" t="inlineStr">
        <is>
          <t>Neeraj GPay</t>
        </is>
      </c>
      <c r="E51" s="51" t="inlineStr">
        <is>
          <t>Next 10% increase</t>
        </is>
      </c>
    </row>
    <row r="52">
      <c r="A52" s="18" t="n"/>
      <c r="B52" s="19" t="n"/>
      <c r="C52" s="49" t="n">
        <v>48000</v>
      </c>
      <c r="D52" s="50" t="inlineStr">
        <is>
          <t>Khanal Sohna - Mannat</t>
        </is>
      </c>
      <c r="E52" s="51" t="inlineStr">
        <is>
          <t>Next 10% increase</t>
        </is>
      </c>
    </row>
    <row r="53">
      <c r="A53" s="18" t="n"/>
      <c r="B53" s="19" t="n"/>
      <c r="C53" s="49" t="n">
        <v>80000</v>
      </c>
      <c r="D53" s="50" t="inlineStr">
        <is>
          <t>Urban Touch</t>
        </is>
      </c>
      <c r="E53" s="51" t="inlineStr">
        <is>
          <t>Next 10% increase</t>
        </is>
      </c>
    </row>
    <row r="54">
      <c r="A54" s="18" t="n"/>
      <c r="B54" s="19" t="n"/>
      <c r="C54" s="49" t="n">
        <v>77000</v>
      </c>
      <c r="D54" s="50" t="inlineStr">
        <is>
          <t>Malwa Collection</t>
        </is>
      </c>
      <c r="E54" s="51" t="inlineStr">
        <is>
          <t>Next 10% increase</t>
        </is>
      </c>
    </row>
    <row r="55">
      <c r="A55" s="12" t="n"/>
      <c r="B55" s="16" t="n"/>
      <c r="C55" s="52">
        <f>Sum(C50:C54)</f>
        <v/>
      </c>
      <c r="D55" s="53" t="inlineStr">
        <is>
          <t>Total Harsh</t>
        </is>
      </c>
      <c r="E55" s="16" t="n"/>
      <c r="F55" s="17" t="n"/>
      <c r="G55" s="17" t="n"/>
      <c r="H55" s="17" t="n"/>
    </row>
    <row r="56">
      <c r="A56" s="18" t="n"/>
      <c r="B56" s="19" t="n"/>
      <c r="C56" s="49" t="n">
        <v>45000</v>
      </c>
      <c r="D56" s="50" t="inlineStr">
        <is>
          <t>Kewal Da Munda</t>
        </is>
      </c>
      <c r="E56" s="51" t="inlineStr">
        <is>
          <t>Next 10% increase</t>
        </is>
      </c>
    </row>
    <row r="57">
      <c r="A57" s="18" t="n"/>
      <c r="B57" s="19" t="n"/>
      <c r="C57" s="49" t="n">
        <v>45000</v>
      </c>
      <c r="D57" s="50" t="inlineStr">
        <is>
          <t>Toorbanjara Kadai Wale da Munda</t>
        </is>
      </c>
      <c r="E57" s="51" t="inlineStr">
        <is>
          <t>Next 10% increase</t>
        </is>
      </c>
    </row>
    <row r="58">
      <c r="A58" s="18" t="n"/>
      <c r="B58" s="19" t="n"/>
      <c r="C58" s="49" t="n">
        <v>365000</v>
      </c>
      <c r="D58" s="50" t="inlineStr">
        <is>
          <t>Pawas</t>
        </is>
      </c>
      <c r="E58" s="51" t="inlineStr">
        <is>
          <t>Next 10% Increase</t>
        </is>
      </c>
    </row>
    <row r="59">
      <c r="A59" s="20" t="n"/>
      <c r="B59" s="22" t="n"/>
      <c r="C59" s="52">
        <f>SUM(C56:C58)</f>
        <v/>
      </c>
      <c r="D59" s="53" t="inlineStr">
        <is>
          <t>Total Dad</t>
        </is>
      </c>
      <c r="E59" s="22" t="n"/>
      <c r="F59" s="23" t="n"/>
      <c r="G59" s="23" t="n"/>
      <c r="H59" s="23" t="n"/>
    </row>
    <row r="60">
      <c r="A60" s="6" t="n"/>
      <c r="B60" s="25" t="n"/>
      <c r="C60" s="25" t="n"/>
      <c r="D60" s="11" t="n"/>
      <c r="E60" s="25" t="n"/>
      <c r="F60" s="11" t="n"/>
      <c r="G60" s="11" t="n"/>
      <c r="H60" s="11" t="n"/>
    </row>
    <row r="61">
      <c r="A61" s="6" t="n"/>
      <c r="B61" s="54" t="inlineStr">
        <is>
          <t>Happy</t>
        </is>
      </c>
      <c r="C61" s="52">
        <f>SUM(C2:C48)</f>
        <v/>
      </c>
      <c r="D61" s="52" t="n">
        <v>426260</v>
      </c>
      <c r="E61" s="52">
        <f>C61-D61</f>
        <v/>
      </c>
      <c r="F61" s="11" t="n"/>
      <c r="G61" s="11" t="n"/>
      <c r="H61" s="11" t="n"/>
    </row>
    <row r="62">
      <c r="A62" s="6" t="n"/>
      <c r="B62" s="54" t="inlineStr">
        <is>
          <t>Harsh</t>
        </is>
      </c>
      <c r="C62" s="52">
        <f>Sum(C50:C54)</f>
        <v/>
      </c>
      <c r="D62" s="52" t="n">
        <v>58329</v>
      </c>
      <c r="E62" s="52">
        <f>C62-D62</f>
        <v/>
      </c>
      <c r="F62" s="11" t="n"/>
      <c r="G62" s="11" t="n"/>
      <c r="H62" s="11" t="n"/>
    </row>
    <row r="63">
      <c r="A63" s="6" t="n"/>
      <c r="B63" s="54" t="inlineStr">
        <is>
          <t>Aman</t>
        </is>
      </c>
      <c r="C63" s="52">
        <f>SUM(C56:C58)</f>
        <v/>
      </c>
      <c r="D63" s="52" t="n">
        <v>2100</v>
      </c>
      <c r="E63" s="52">
        <f>C63-D63</f>
        <v/>
      </c>
      <c r="F63" s="11" t="n"/>
      <c r="G63" s="11" t="n"/>
      <c r="H63" s="11" t="n"/>
    </row>
    <row r="64">
      <c r="A64" s="18" t="n"/>
      <c r="B64" s="19" t="n"/>
      <c r="C64" s="19" t="n"/>
      <c r="D64" s="19" t="n"/>
      <c r="E64" s="19" t="n"/>
    </row>
    <row r="65">
      <c r="A65" s="6" t="n"/>
      <c r="B65" s="54" t="inlineStr">
        <is>
          <t>Total</t>
        </is>
      </c>
      <c r="C65" s="52">
        <f>SUM(C61:C63)</f>
        <v/>
      </c>
      <c r="D65" s="25" t="n"/>
      <c r="E65" s="25" t="n"/>
      <c r="F65" s="11" t="n"/>
      <c r="G65" s="11" t="n"/>
      <c r="H65" s="11" t="n"/>
    </row>
    <row r="66">
      <c r="A66" s="6" t="n"/>
      <c r="B66" s="25" t="n"/>
      <c r="C66" s="54" t="inlineStr">
        <is>
          <t>Each</t>
        </is>
      </c>
      <c r="D66" s="55">
        <f>E61/3</f>
        <v/>
      </c>
      <c r="E66" s="52">
        <f>294000/3</f>
        <v/>
      </c>
      <c r="F66" s="52">
        <f>455000/3</f>
        <v/>
      </c>
      <c r="G66" s="52">
        <f>D66+E66+F66</f>
        <v/>
      </c>
      <c r="H66" s="11" t="n"/>
    </row>
    <row r="67">
      <c r="A67" s="18" t="n"/>
      <c r="B67" s="19" t="n"/>
      <c r="C67" s="51" t="inlineStr">
        <is>
          <t>Happy</t>
        </is>
      </c>
      <c r="D67" s="56">
        <f>D66+C62+C63</f>
        <v/>
      </c>
      <c r="E67" s="56" t="n">
        <v>2042000</v>
      </c>
      <c r="F67" s="56">
        <f>D67-E67</f>
        <v/>
      </c>
      <c r="G67" s="57">
        <f>B70-(G68+G69)</f>
        <v/>
      </c>
    </row>
    <row r="68">
      <c r="A68" s="18" t="n"/>
      <c r="B68" s="19" t="n"/>
      <c r="C68" s="51" t="inlineStr">
        <is>
          <t>Dad</t>
        </is>
      </c>
      <c r="D68" s="56">
        <f>D66-C63</f>
        <v/>
      </c>
      <c r="E68" s="56" t="n">
        <v>968000</v>
      </c>
      <c r="F68" s="56">
        <f>D68-E68</f>
        <v/>
      </c>
      <c r="G68" s="57">
        <f>G66-C63</f>
        <v/>
      </c>
    </row>
    <row r="69">
      <c r="A69" s="18" t="n"/>
      <c r="B69" s="19" t="n"/>
      <c r="C69" s="51" t="inlineStr">
        <is>
          <t>Harsh</t>
        </is>
      </c>
      <c r="D69" s="56">
        <f>D66-C62</f>
        <v/>
      </c>
      <c r="E69" s="56" t="n">
        <v>1130000</v>
      </c>
      <c r="F69" s="56">
        <f>D69-E69</f>
        <v/>
      </c>
      <c r="G69" s="57">
        <f>G66-C62</f>
        <v/>
      </c>
    </row>
    <row r="70">
      <c r="A70" s="53" t="inlineStr">
        <is>
          <t>Total Counted</t>
        </is>
      </c>
      <c r="B70" s="52" t="n">
        <v>4140000</v>
      </c>
      <c r="C70" s="54" t="inlineStr">
        <is>
          <t>Total</t>
        </is>
      </c>
      <c r="D70" s="52">
        <f>SUM(D67:D69)</f>
        <v/>
      </c>
      <c r="E70" s="11" t="n"/>
      <c r="F70" s="11" t="n"/>
      <c r="G70" s="52">
        <f>SUM(G67:G69)</f>
        <v/>
      </c>
      <c r="H70" s="52">
        <f>D70-G70</f>
        <v/>
      </c>
    </row>
    <row r="71">
      <c r="A71" s="18" t="n"/>
      <c r="B71" s="19" t="n"/>
      <c r="C71" s="49">
        <f>5445000-D61</f>
        <v/>
      </c>
      <c r="E71" s="19" t="n"/>
      <c r="G71" s="11" t="n"/>
    </row>
    <row r="72">
      <c r="A72" s="18" t="n"/>
      <c r="B72" s="49">
        <f>B70-E68-E69</f>
        <v/>
      </c>
      <c r="C72" s="19" t="n"/>
      <c r="E72" s="19" t="n"/>
    </row>
  </sheetData>
  <autoFilter ref="A1:H72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" customWidth="1" style="38" min="1" max="1"/>
    <col width="14" customWidth="1" style="38" min="2" max="2"/>
    <col width="12" customWidth="1" style="38" min="3" max="3"/>
    <col width="34" customWidth="1" style="38" min="4" max="4"/>
    <col width="16" customWidth="1" style="38" min="5" max="5"/>
  </cols>
  <sheetData>
    <row r="1">
      <c r="A1" s="45" t="inlineStr">
        <is>
          <t>Date</t>
        </is>
      </c>
      <c r="B1" s="46" t="inlineStr">
        <is>
          <t>Alotted Rent</t>
        </is>
      </c>
      <c r="C1" s="46" t="inlineStr">
        <is>
          <t>Given Rent</t>
        </is>
      </c>
      <c r="D1" s="47" t="inlineStr">
        <is>
          <t>From?</t>
        </is>
      </c>
      <c r="E1" s="46" t="inlineStr">
        <is>
          <t>Name</t>
        </is>
      </c>
    </row>
    <row r="2">
      <c r="A2" s="58" t="n">
        <v>46107</v>
      </c>
      <c r="C2" s="49" t="n">
        <v>45000</v>
      </c>
      <c r="D2" s="50" t="inlineStr">
        <is>
          <t>Gyani Gurjant Toorbanjare Wala Kadai Wala</t>
        </is>
      </c>
      <c r="E2" s="50" t="inlineStr">
        <is>
          <t>Pawas kol shop</t>
        </is>
      </c>
    </row>
  </sheetData>
  <autoFilter ref="A1:E2"/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8" min="1" max="1"/>
    <col width="16" customWidth="1" style="38" min="2" max="2"/>
    <col width="26" customWidth="1" style="38" min="3" max="3"/>
    <col width="26" customWidth="1" style="38" min="4" max="4"/>
    <col width="10" customWidth="1" style="38" min="5" max="5"/>
    <col width="30" customWidth="1" style="38" min="6" max="6"/>
  </cols>
  <sheetData>
    <row r="1">
      <c r="A1" s="47" t="inlineStr">
        <is>
          <t>Date</t>
        </is>
      </c>
      <c r="B1" s="47" t="inlineStr">
        <is>
          <t>Expense(All 3)</t>
        </is>
      </c>
      <c r="D1" s="47" t="inlineStr">
        <is>
          <t xml:space="preserve">Expense (Happy and Dad) </t>
        </is>
      </c>
    </row>
    <row r="2">
      <c r="B2" s="49" t="n">
        <v>1500</v>
      </c>
      <c r="C2" s="50" t="inlineStr">
        <is>
          <t>Dukaan de Rang</t>
        </is>
      </c>
      <c r="D2" s="49" t="n">
        <v>2000</v>
      </c>
    </row>
    <row r="3">
      <c r="B3" s="49" t="n">
        <v>100000</v>
      </c>
      <c r="C3" s="50" t="inlineStr">
        <is>
          <t>Shed aale mistri</t>
        </is>
      </c>
      <c r="D3" s="49" t="n">
        <v>4500</v>
      </c>
    </row>
    <row r="4">
      <c r="B4" s="49" t="n">
        <v>1000</v>
      </c>
      <c r="C4" s="50" t="inlineStr">
        <is>
          <t>Shere</t>
        </is>
      </c>
      <c r="D4" s="49" t="n">
        <v>2000</v>
      </c>
    </row>
    <row r="5">
      <c r="B5" s="49" t="n">
        <v>100000</v>
      </c>
      <c r="C5" s="50" t="inlineStr">
        <is>
          <t>Nakshe</t>
        </is>
      </c>
      <c r="D5" s="49" t="n">
        <v>4500</v>
      </c>
    </row>
    <row r="6">
      <c r="B6" s="49" t="n">
        <v>4500</v>
      </c>
      <c r="C6" s="50" t="inlineStr">
        <is>
          <t>Mitti Pwai Da</t>
        </is>
      </c>
      <c r="D6" s="49" t="n">
        <v>3500</v>
      </c>
    </row>
    <row r="7">
      <c r="B7" s="49" t="n">
        <v>800</v>
      </c>
      <c r="C7" s="50" t="inlineStr">
        <is>
          <t>Paande Mistriyan</t>
        </is>
      </c>
      <c r="D7" s="49" t="n">
        <v>1000</v>
      </c>
    </row>
    <row r="8">
      <c r="B8" s="49" t="n">
        <v>6200</v>
      </c>
      <c r="C8" s="50" t="inlineStr">
        <is>
          <t>Shutter kewal wali da</t>
        </is>
      </c>
      <c r="D8" s="49" t="n">
        <v>11000</v>
      </c>
    </row>
    <row r="9">
      <c r="B9" s="49" t="n">
        <v>2000</v>
      </c>
      <c r="C9" s="50" t="inlineStr">
        <is>
          <t>Dugg Saaf krwayi</t>
        </is>
      </c>
      <c r="D9" s="49" t="n">
        <v>14800</v>
      </c>
      <c r="F9" s="50" t="inlineStr">
        <is>
          <t>Happy De ke Aya Rang wale nu</t>
        </is>
      </c>
    </row>
    <row r="10">
      <c r="B10" s="49" t="n">
        <v>2000</v>
      </c>
      <c r="C10" s="50" t="inlineStr">
        <is>
          <t>Shere Mistri Paleta</t>
        </is>
      </c>
      <c r="D10" s="52">
        <f>SUM(D2:D9)</f>
        <v/>
      </c>
    </row>
    <row r="11">
      <c r="B11" s="49" t="n">
        <v>8500</v>
      </c>
      <c r="C11" s="50" t="inlineStr">
        <is>
          <t>Tile Wale</t>
        </is>
      </c>
      <c r="D11" s="30" t="n"/>
    </row>
    <row r="12">
      <c r="B12" s="49" t="n">
        <v>3000</v>
      </c>
      <c r="C12" s="50" t="inlineStr">
        <is>
          <t>Kisaan</t>
        </is>
      </c>
    </row>
    <row r="13">
      <c r="B13" s="49" t="n">
        <v>12460</v>
      </c>
      <c r="C13" s="50" t="inlineStr">
        <is>
          <t>Pawan Baniya</t>
        </is>
      </c>
    </row>
    <row r="14">
      <c r="B14" s="49" t="n">
        <v>5200</v>
      </c>
      <c r="C14" s="50" t="inlineStr">
        <is>
          <t>Modi Baans</t>
        </is>
      </c>
    </row>
    <row r="15">
      <c r="B15" s="49" t="n">
        <v>3500</v>
      </c>
      <c r="C15" s="50" t="inlineStr">
        <is>
          <t>Bindr</t>
        </is>
      </c>
    </row>
    <row r="16">
      <c r="B16" s="49" t="n">
        <v>93300</v>
      </c>
      <c r="C16" s="50" t="inlineStr">
        <is>
          <t>Commety Tax</t>
        </is>
      </c>
    </row>
    <row r="17">
      <c r="B17" s="49" t="n">
        <v>1500</v>
      </c>
      <c r="C17" s="50" t="inlineStr">
        <is>
          <t>Houdi Saaf</t>
        </is>
      </c>
    </row>
    <row r="18">
      <c r="B18" s="49" t="n">
        <v>17500</v>
      </c>
      <c r="C18" s="50" t="inlineStr">
        <is>
          <t>Motor Daske New</t>
        </is>
      </c>
    </row>
    <row r="19">
      <c r="B19" s="49" t="n">
        <v>2800</v>
      </c>
      <c r="C19" s="50" t="inlineStr">
        <is>
          <t>Khanjura</t>
        </is>
      </c>
    </row>
    <row r="20">
      <c r="B20" s="49" t="n">
        <v>1800</v>
      </c>
      <c r="C20" s="50" t="inlineStr">
        <is>
          <t>JCB</t>
        </is>
      </c>
    </row>
    <row r="21">
      <c r="B21" s="49" t="n">
        <v>2400</v>
      </c>
      <c r="C21" s="50" t="inlineStr">
        <is>
          <t>Khanjuira Toye pakke</t>
        </is>
      </c>
    </row>
    <row r="22">
      <c r="B22" s="49" t="n">
        <v>2600</v>
      </c>
      <c r="C22" s="50" t="inlineStr">
        <is>
          <t>Mlwa chakaya</t>
        </is>
      </c>
    </row>
    <row r="23">
      <c r="B23" s="49" t="n">
        <v>10000</v>
      </c>
      <c r="C23" s="50" t="inlineStr">
        <is>
          <t>Nikka</t>
        </is>
      </c>
    </row>
    <row r="24">
      <c r="B24" s="49" t="n">
        <v>9000</v>
      </c>
      <c r="C24" s="50" t="inlineStr">
        <is>
          <t>bindr Mistri</t>
        </is>
      </c>
    </row>
    <row r="25">
      <c r="B25" s="49" t="n">
        <v>2500</v>
      </c>
      <c r="C25" s="50" t="inlineStr">
        <is>
          <t>Jeewn tutia</t>
        </is>
      </c>
    </row>
    <row r="26">
      <c r="B26" s="49" t="n">
        <v>3000</v>
      </c>
      <c r="C26" s="50" t="inlineStr">
        <is>
          <t>Guru ghr</t>
        </is>
      </c>
    </row>
    <row r="27">
      <c r="B27" s="49" t="n">
        <v>3000</v>
      </c>
      <c r="C27" s="50" t="inlineStr">
        <is>
          <t>rudi da Ray</t>
        </is>
      </c>
    </row>
    <row r="28">
      <c r="B28" s="49" t="n">
        <v>3200</v>
      </c>
      <c r="C28" s="50" t="inlineStr">
        <is>
          <t>Basiarkia</t>
        </is>
      </c>
    </row>
    <row r="29">
      <c r="B29" s="49" t="n">
        <v>23000</v>
      </c>
      <c r="C29" s="50" t="inlineStr">
        <is>
          <t>Mobile Shop Kamm Karwaya</t>
        </is>
      </c>
    </row>
    <row r="30">
      <c r="A30" s="17" t="n"/>
      <c r="B30" s="52">
        <f>SUM(B2:B29)</f>
        <v/>
      </c>
      <c r="C30" s="53" t="inlineStr">
        <is>
          <t>Happy</t>
        </is>
      </c>
      <c r="D30" s="17" t="n"/>
      <c r="E30" s="17" t="n"/>
      <c r="F30" s="17" t="n"/>
    </row>
    <row r="31">
      <c r="B31" s="49" t="n">
        <v>2100</v>
      </c>
      <c r="C31" s="50" t="inlineStr">
        <is>
          <t>Hydra</t>
        </is>
      </c>
    </row>
    <row r="32">
      <c r="A32" s="17" t="n"/>
      <c r="B32" s="52">
        <f>SUM(B31)</f>
        <v/>
      </c>
      <c r="C32" s="53" t="inlineStr">
        <is>
          <t>Dad</t>
        </is>
      </c>
      <c r="D32" s="17" t="n"/>
      <c r="E32" s="17" t="n"/>
      <c r="F32" s="17" t="n"/>
    </row>
    <row r="33">
      <c r="B33" s="49" t="n">
        <v>15500</v>
      </c>
      <c r="C33" s="50" t="inlineStr">
        <is>
          <t>Khajura Upfront</t>
        </is>
      </c>
    </row>
    <row r="34">
      <c r="B34" s="49" t="n">
        <v>30000</v>
      </c>
      <c r="C34" s="50" t="inlineStr">
        <is>
          <t>Khajura</t>
        </is>
      </c>
    </row>
    <row r="35">
      <c r="B35" s="49" t="n">
        <v>7580</v>
      </c>
      <c r="C35" s="50" t="inlineStr">
        <is>
          <t>Motor Bill</t>
        </is>
      </c>
    </row>
    <row r="36">
      <c r="B36" s="49" t="n">
        <v>5249</v>
      </c>
      <c r="C36" s="50" t="inlineStr">
        <is>
          <t>Motor Bill</t>
        </is>
      </c>
    </row>
    <row r="37">
      <c r="A37" s="17" t="n"/>
      <c r="B37" s="52">
        <f>SUM(B33:B36)</f>
        <v/>
      </c>
      <c r="C37" s="53" t="inlineStr">
        <is>
          <t>Harsh</t>
        </is>
      </c>
      <c r="D37" s="17" t="n"/>
      <c r="E37" s="17" t="n"/>
      <c r="F37" s="17" t="n"/>
    </row>
    <row r="38"/>
    <row r="39">
      <c r="B39" s="49">
        <f>B30+B32+B37</f>
        <v/>
      </c>
    </row>
  </sheetData>
  <autoFilter ref="A1:F39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38" min="1" max="1"/>
    <col width="14" customWidth="1" style="38" min="2" max="2"/>
    <col width="14" customWidth="1" style="38" min="3" max="3"/>
    <col width="23.38" customWidth="1" style="38" min="4" max="4"/>
  </cols>
  <sheetData>
    <row r="1">
      <c r="B1" s="59" t="inlineStr">
        <is>
          <t>Duggal</t>
        </is>
      </c>
      <c r="C1" s="46" t="inlineStr">
        <is>
          <t>Daska</t>
        </is>
      </c>
    </row>
    <row r="2">
      <c r="A2" s="50" t="inlineStr">
        <is>
          <t>Dad</t>
        </is>
      </c>
      <c r="B2" s="49" t="n">
        <v>157625</v>
      </c>
      <c r="C2" s="49" t="n">
        <v>365000</v>
      </c>
    </row>
    <row r="3">
      <c r="A3" s="50" t="inlineStr">
        <is>
          <t>Harsh</t>
        </is>
      </c>
      <c r="B3" s="49" t="n">
        <v>157625</v>
      </c>
      <c r="C3" s="49" t="n">
        <v>365000</v>
      </c>
    </row>
    <row r="4">
      <c r="A4" s="50" t="inlineStr">
        <is>
          <t>Papa</t>
        </is>
      </c>
      <c r="B4" s="49" t="n">
        <v>135000</v>
      </c>
      <c r="C4" s="49" t="n">
        <v>365000</v>
      </c>
    </row>
    <row r="5">
      <c r="A5" s="53" t="inlineStr">
        <is>
          <t>Sum</t>
        </is>
      </c>
      <c r="B5" s="52">
        <f>SUM(B2:B4)</f>
        <v/>
      </c>
      <c r="C5" s="52">
        <f>SUM(C2:C4)</f>
        <v/>
      </c>
    </row>
    <row r="6">
      <c r="A6" s="50" t="inlineStr">
        <is>
          <t>Each</t>
        </is>
      </c>
      <c r="B6" s="49">
        <f>B5/3</f>
        <v/>
      </c>
      <c r="C6" s="19" t="n"/>
    </row>
    <row r="7">
      <c r="B7" s="60">
        <f>B3-B6</f>
        <v/>
      </c>
      <c r="C7" s="19" t="n"/>
    </row>
    <row r="8">
      <c r="B8" s="33" t="n"/>
      <c r="C8" s="19" t="n"/>
    </row>
    <row r="9">
      <c r="A9" s="61" t="inlineStr">
        <is>
          <t>Kille Da Rate</t>
        </is>
      </c>
      <c r="B9" s="49" t="n">
        <v>78000</v>
      </c>
      <c r="C9" s="49" t="n">
        <v>72000</v>
      </c>
    </row>
    <row r="10">
      <c r="A10" s="50" t="inlineStr">
        <is>
          <t xml:space="preserve">Kille </t>
        </is>
      </c>
      <c r="B10" s="49" t="n">
        <v>13</v>
      </c>
      <c r="C10" s="49" t="n">
        <v>31</v>
      </c>
    </row>
    <row r="11">
      <c r="B11" s="33" t="n"/>
      <c r="C11" s="19" t="n"/>
    </row>
    <row r="12">
      <c r="A12" s="53" t="inlineStr">
        <is>
          <t>Six Month Rate</t>
        </is>
      </c>
      <c r="B12" s="52">
        <f>(B9*B10)/2</f>
        <v/>
      </c>
      <c r="C12" s="52">
        <f>(C9*C10)/2</f>
        <v/>
      </c>
    </row>
    <row r="13">
      <c r="A13" s="50" t="inlineStr">
        <is>
          <t>Left</t>
        </is>
      </c>
      <c r="B13" s="62">
        <f>B12-B5</f>
        <v/>
      </c>
      <c r="C13" s="62">
        <f>C12-C5</f>
        <v/>
      </c>
    </row>
  </sheetData>
  <autoFilter ref="A1:C13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8" min="1" max="1"/>
    <col width="25" customWidth="1" style="38" min="2" max="2"/>
    <col width="34" customWidth="1" style="38" min="3" max="3"/>
    <col width="21" customWidth="1" style="38" min="4" max="4"/>
  </cols>
  <sheetData>
    <row r="1">
      <c r="A1" s="47" t="inlineStr">
        <is>
          <t>Alloted</t>
        </is>
      </c>
      <c r="B1" s="47" t="inlineStr">
        <is>
          <t>Will be given next year</t>
        </is>
      </c>
    </row>
    <row r="2"/>
    <row r="3">
      <c r="A3" s="49" t="n">
        <v>165000</v>
      </c>
      <c r="B3" s="30" t="n"/>
      <c r="C3" s="50" t="inlineStr">
        <is>
          <t>Khadiyal Wali/Wala</t>
        </is>
      </c>
    </row>
    <row r="4">
      <c r="A4" s="49" t="n">
        <v>125000</v>
      </c>
      <c r="B4" s="30" t="n"/>
      <c r="C4" s="50" t="inlineStr">
        <is>
          <t>Phone Wala - Khurana Garment kol</t>
        </is>
      </c>
    </row>
    <row r="5">
      <c r="A5" s="49" t="n">
        <v>165000</v>
      </c>
      <c r="B5" s="30" t="n"/>
      <c r="C5" s="50" t="inlineStr">
        <is>
          <t>Suhag Goldy</t>
        </is>
      </c>
    </row>
    <row r="6">
      <c r="A6" s="49" t="n">
        <v>275000</v>
      </c>
      <c r="B6" s="30" t="n"/>
      <c r="C6" s="50" t="inlineStr">
        <is>
          <t>Kadiyalia Refugee</t>
        </is>
      </c>
    </row>
    <row r="7">
      <c r="A7" s="49" t="n">
        <v>44000</v>
      </c>
      <c r="B7" s="30" t="n"/>
      <c r="C7" s="50" t="inlineStr">
        <is>
          <t>Portronics</t>
        </is>
      </c>
    </row>
    <row r="8">
      <c r="A8" s="49" t="n">
        <v>45000</v>
      </c>
      <c r="B8" s="49" t="n">
        <v>33750</v>
      </c>
      <c r="C8" s="50" t="inlineStr">
        <is>
          <t>Second Last near gate</t>
        </is>
      </c>
      <c r="D8" s="63" t="n">
        <v>45664</v>
      </c>
    </row>
  </sheetData>
  <autoFilter ref="A1:D8"/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8" min="1" max="1"/>
    <col width="17" customWidth="1" style="38" min="2" max="2"/>
    <col width="10" customWidth="1" style="38" min="3" max="3"/>
    <col width="14" customWidth="1" style="38" min="4" max="4"/>
  </cols>
  <sheetData>
    <row r="1">
      <c r="D1" s="47" t="inlineStr">
        <is>
          <t>Left</t>
        </is>
      </c>
    </row>
    <row r="2">
      <c r="A2" s="49" t="n">
        <v>90000</v>
      </c>
      <c r="B2" s="50" t="inlineStr">
        <is>
          <t>Satpal Khadiyal</t>
        </is>
      </c>
      <c r="C2" s="49" t="n">
        <v>85000</v>
      </c>
      <c r="D2" s="49">
        <f>A2-C2</f>
        <v/>
      </c>
    </row>
    <row r="3">
      <c r="A3" s="49" t="n">
        <v>75000</v>
      </c>
      <c r="B3" s="50" t="inlineStr">
        <is>
          <t>TurbanJare</t>
        </is>
      </c>
      <c r="C3" s="49" t="n">
        <v>70000</v>
      </c>
      <c r="D3" s="49">
        <f>A3-C3</f>
        <v/>
      </c>
    </row>
  </sheetData>
  <autoFilter ref="A1:D3"/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10" customWidth="1" style="38" min="1" max="1"/>
  </cols>
  <sheetData>
    <row r="1">
      <c r="A1" s="49" t="n">
        <v>5000</v>
      </c>
    </row>
  </sheetData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8" min="1" max="1"/>
    <col width="30" customWidth="1" style="38" min="2" max="2"/>
  </cols>
  <sheetData>
    <row r="1">
      <c r="A1" s="64" t="n">
        <v>61000</v>
      </c>
      <c r="B1" s="47" t="inlineStr">
        <is>
          <t>Daske wale ne kharcha ktt ke</t>
        </is>
      </c>
    </row>
    <row r="2">
      <c r="A2" s="49" t="n">
        <v>88000</v>
      </c>
      <c r="B2" s="50" t="inlineStr">
        <is>
          <t>Dugal ale ne ditte</t>
        </is>
      </c>
    </row>
    <row r="3">
      <c r="A3" s="49" t="n">
        <v>5000</v>
      </c>
      <c r="B3" s="50" t="inlineStr">
        <is>
          <t>daske wale di saayi</t>
        </is>
      </c>
    </row>
    <row r="4">
      <c r="A4" s="49" t="n">
        <v>68000</v>
      </c>
      <c r="B4" s="50" t="inlineStr">
        <is>
          <t>tehan wle de kille de</t>
        </is>
      </c>
    </row>
  </sheetData>
  <autoFilter ref="A1:B4"/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8" customWidth="1" style="38" min="1" max="1"/>
    <col width="10" customWidth="1" style="38" min="2" max="2"/>
  </cols>
  <sheetData>
    <row r="1">
      <c r="A1" s="47" t="inlineStr">
        <is>
          <t>Khadar Pandar/Rodda Mistri</t>
        </is>
      </c>
      <c r="B1" s="64" t="n">
        <v>40000</v>
      </c>
    </row>
    <row r="2">
      <c r="A2" s="50" t="inlineStr">
        <is>
          <t>Alex</t>
        </is>
      </c>
      <c r="B2" s="49" t="n">
        <v>13000</v>
      </c>
    </row>
    <row r="3">
      <c r="A3" s="50" t="inlineStr">
        <is>
          <t>Khadiyal Mahi Satpal</t>
        </is>
      </c>
      <c r="B3" s="49" t="n">
        <v>85000</v>
      </c>
    </row>
    <row r="4">
      <c r="A4" s="50" t="inlineStr">
        <is>
          <t>Toorbanjara Parlour</t>
        </is>
      </c>
      <c r="B4" s="49" t="n">
        <v>5000</v>
      </c>
    </row>
    <row r="5">
      <c r="A5" s="50" t="inlineStr">
        <is>
          <t>Chahad Mobile</t>
        </is>
      </c>
      <c r="B5" s="49" t="n">
        <v>10000</v>
      </c>
    </row>
  </sheetData>
  <autoFilter ref="A1:B5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2026-06-11T10:00:22Z</dcterms:created>
  <dcterms:modified xmlns:dcterms="http://purl.org/dc/terms/" xmlns:xsi="http://www.w3.org/2001/XMLSchema-instance" xsi:type="dcterms:W3CDTF">2026-06-11T10:00:22Z</dcterms:modified>
</cp:coreProperties>
</file>