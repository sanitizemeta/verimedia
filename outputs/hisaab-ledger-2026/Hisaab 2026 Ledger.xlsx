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ettlement" sheetId="4" state="visible" r:id="rId4"/>
  </sheets>
  <definedNames>
    <definedName name="_xlnm._FilterDatabase" localSheetId="1" hidden="1">'Transactions'!$A$4:$H$53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yyyy-mm-dd h:mm:ss"/>
    <numFmt numFmtId="166" formatCode="dd-mmm-yyyy"/>
  </numFmts>
  <fonts count="5">
    <font>
      <name val="Calibri"/>
      <family val="2"/>
      <color theme="1"/>
      <sz val="11"/>
      <scheme val="minor"/>
    </font>
    <font>
      <b val="1"/>
      <color rgb="001F4E78"/>
      <sz val="20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Collections by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'Dashboard'!$D$5:$D$7</f>
            </numRef>
          </cat>
          <val>
            <numRef>
              <f>'Dashboard'!$E$5:$E$7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Table" displayName="TransactionsTable" ref="A4:H53" headerRowCount="1">
  <autoFilter ref="A4:H53"/>
  <tableColumns count="8">
    <tableColumn id="1" name="Person"/>
    <tableColumn id="2" name="Date"/>
    <tableColumn id="3" name="Month"/>
    <tableColumn id="4" name="Amount"/>
    <tableColumn id="5" name="Party / Shop"/>
    <tableColumn id="6" name="Notes"/>
    <tableColumn id="7" name="Rate / Flag"/>
    <tableColumn id="8" name="Side Amount /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4" max="4"/>
    <col width="18" customWidth="1" min="5" max="5"/>
  </cols>
  <sheetData>
    <row r="1">
      <c r="A1" s="1" t="inlineStr">
        <is>
          <t>Hisaab 2026 Dashboard</t>
        </is>
      </c>
    </row>
    <row r="2">
      <c r="A2" s="2" t="inlineStr">
        <is>
          <t>Clean summary created from the pasted Happy, Dad, and Harsh ledger.</t>
        </is>
      </c>
    </row>
    <row r="3"/>
    <row r="4">
      <c r="A4" s="3" t="inlineStr">
        <is>
          <t>Metric</t>
        </is>
      </c>
      <c r="B4" s="3" t="inlineStr">
        <is>
          <t>Amount</t>
        </is>
      </c>
      <c r="C4" s="4" t="n"/>
      <c r="D4" s="3" t="inlineStr">
        <is>
          <t>Person</t>
        </is>
      </c>
      <c r="E4" s="3" t="inlineStr">
        <is>
          <t>Collected</t>
        </is>
      </c>
      <c r="F4" s="4" t="n"/>
      <c r="G4" s="4" t="n"/>
    </row>
    <row r="5">
      <c r="A5" s="5" t="inlineStr">
        <is>
          <t>Happy Collections</t>
        </is>
      </c>
      <c r="B5" s="6">
        <f>SUMIF(Transactions!A:A,"Happy",Transactions!D:D)</f>
        <v/>
      </c>
      <c r="D5" s="5" t="inlineStr">
        <is>
          <t>Happy</t>
        </is>
      </c>
      <c r="E5" s="6">
        <f>SUMIF(Transactions!A:A,D5,Transactions!D:D)</f>
        <v/>
      </c>
    </row>
    <row r="6">
      <c r="A6" s="5" t="inlineStr">
        <is>
          <t>Dad Collections</t>
        </is>
      </c>
      <c r="B6" s="6">
        <f>SUMIF(Transactions!A:A,"Dad",Transactions!D:D)</f>
        <v/>
      </c>
      <c r="D6" s="5" t="inlineStr">
        <is>
          <t>Dad</t>
        </is>
      </c>
      <c r="E6" s="6">
        <f>SUMIF(Transactions!A:A,D6,Transactions!D:D)</f>
        <v/>
      </c>
    </row>
    <row r="7">
      <c r="A7" s="5" t="inlineStr">
        <is>
          <t>Harsh Collections</t>
        </is>
      </c>
      <c r="B7" s="6">
        <f>SUMIF(Transactions!A:A,"Harsh",Transactions!D:D)</f>
        <v/>
      </c>
      <c r="D7" s="5" t="inlineStr">
        <is>
          <t>Harsh</t>
        </is>
      </c>
      <c r="E7" s="6">
        <f>SUMIF(Transactions!A:A,D7,Transactions!D:D)</f>
        <v/>
      </c>
    </row>
    <row r="8">
      <c r="A8" s="5" t="inlineStr">
        <is>
          <t>Total Collections</t>
        </is>
      </c>
      <c r="B8" s="6">
        <f>SUM(B5:B7)</f>
        <v/>
      </c>
    </row>
    <row r="9">
      <c r="A9" s="5" t="inlineStr">
        <is>
          <t>Expected Ledger Total</t>
        </is>
      </c>
      <c r="B9" s="6" t="n">
        <v>5995950</v>
      </c>
    </row>
    <row r="10">
      <c r="A10" s="5" t="inlineStr">
        <is>
          <t>Difference vs Expected</t>
        </is>
      </c>
      <c r="B10" s="6">
        <f>B8-B9</f>
        <v/>
      </c>
    </row>
    <row r="11">
      <c r="A11" s="5" t="inlineStr">
        <is>
          <t>Cash</t>
        </is>
      </c>
      <c r="B11" s="6" t="n">
        <v>4100000</v>
      </c>
    </row>
  </sheetData>
  <mergeCells count="2">
    <mergeCell ref="A2:G2"/>
    <mergeCell ref="A1:G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6" customWidth="1" min="4" max="4"/>
    <col width="36" customWidth="1" min="5" max="5"/>
    <col width="38" customWidth="1" min="6" max="6"/>
    <col width="12" customWidth="1" min="7" max="7"/>
    <col width="18" customWidth="1" min="8" max="8"/>
  </cols>
  <sheetData>
    <row r="1">
      <c r="A1" s="1" t="inlineStr">
        <is>
          <t>Transactions</t>
        </is>
      </c>
    </row>
    <row r="2">
      <c r="A2" s="2" t="inlineStr">
        <is>
          <t>Normalized ledger entries with dates, party names, notes, rates, and side amounts.</t>
        </is>
      </c>
    </row>
    <row r="3"/>
    <row r="4">
      <c r="A4" s="3" t="inlineStr">
        <is>
          <t>Person</t>
        </is>
      </c>
      <c r="B4" s="3" t="inlineStr">
        <is>
          <t>Date</t>
        </is>
      </c>
      <c r="C4" s="3" t="inlineStr">
        <is>
          <t>Month</t>
        </is>
      </c>
      <c r="D4" s="3" t="inlineStr">
        <is>
          <t>Amount</t>
        </is>
      </c>
      <c r="E4" s="3" t="inlineStr">
        <is>
          <t>Party / Shop</t>
        </is>
      </c>
      <c r="F4" s="3" t="inlineStr">
        <is>
          <t>Notes</t>
        </is>
      </c>
      <c r="G4" s="3" t="inlineStr">
        <is>
          <t>Rate / Flag</t>
        </is>
      </c>
      <c r="H4" s="3" t="inlineStr">
        <is>
          <t>Side Amount / Note</t>
        </is>
      </c>
    </row>
    <row r="5">
      <c r="A5" s="5" t="inlineStr">
        <is>
          <t>Happy</t>
        </is>
      </c>
      <c r="B5" s="7" t="n">
        <v>46113</v>
      </c>
      <c r="C5" s="5">
        <f>IF(ISNUMBER(B5),TEXT(B5,"mmm yyyy"),"No date")</f>
        <v/>
      </c>
      <c r="D5" s="6" t="n">
        <v>40000</v>
      </c>
      <c r="E5" s="5" t="inlineStr">
        <is>
          <t>Kirayana Wali dukaan</t>
        </is>
      </c>
      <c r="F5" s="5" t="inlineStr">
        <is>
          <t>Curtains wala (rodde waali)</t>
        </is>
      </c>
      <c r="G5" s="5" t="inlineStr">
        <is>
          <t>5%</t>
        </is>
      </c>
      <c r="H5" s="6" t="n">
        <v>333750</v>
      </c>
    </row>
    <row r="6">
      <c r="A6" s="5" t="inlineStr">
        <is>
          <t>Happy</t>
        </is>
      </c>
      <c r="B6" s="7" t="n">
        <v>46119</v>
      </c>
      <c r="C6" s="5">
        <f>IF(ISNUMBER(B6),TEXT(B6,"mmm yyyy"),"No date")</f>
        <v/>
      </c>
      <c r="D6" s="6" t="n">
        <v>45000</v>
      </c>
      <c r="E6" s="5" t="inlineStr">
        <is>
          <t>Sai Boutique</t>
        </is>
      </c>
      <c r="F6" s="5" t="inlineStr"/>
      <c r="G6" s="5" t="inlineStr"/>
      <c r="H6" s="6" t="n">
        <v>680000</v>
      </c>
    </row>
    <row r="7">
      <c r="A7" s="5" t="inlineStr">
        <is>
          <t>Happy</t>
        </is>
      </c>
      <c r="B7" s="7" t="n">
        <v>46122</v>
      </c>
      <c r="C7" s="5">
        <f>IF(ISNUMBER(B7),TEXT(B7,"mmm yyyy"),"No date")</f>
        <v/>
      </c>
      <c r="D7" s="6" t="n">
        <v>10000</v>
      </c>
      <c r="E7" s="5" t="inlineStr">
        <is>
          <t>Urban Belize</t>
        </is>
      </c>
      <c r="F7" s="5" t="inlineStr"/>
      <c r="G7" s="5" t="inlineStr">
        <is>
          <t>5%</t>
        </is>
      </c>
    </row>
    <row r="8">
      <c r="A8" s="5" t="inlineStr">
        <is>
          <t>Happy</t>
        </is>
      </c>
      <c r="B8" s="7" t="n">
        <v>46129</v>
      </c>
      <c r="C8" s="5">
        <f>IF(ISNUMBER(B8),TEXT(B8,"mmm yyyy"),"No date")</f>
        <v/>
      </c>
      <c r="D8" s="6" t="n">
        <v>30000</v>
      </c>
      <c r="E8" s="5" t="inlineStr">
        <is>
          <t>Urban Belize</t>
        </is>
      </c>
      <c r="F8" s="5" t="inlineStr"/>
      <c r="G8" s="5" t="inlineStr"/>
    </row>
    <row r="9">
      <c r="A9" s="5" t="inlineStr">
        <is>
          <t>Happy</t>
        </is>
      </c>
      <c r="B9" s="7" t="n">
        <v>46132</v>
      </c>
      <c r="C9" s="5">
        <f>IF(ISNUMBER(B9),TEXT(B9,"mmm yyyy"),"No date")</f>
        <v/>
      </c>
      <c r="D9" s="6" t="n">
        <v>96800</v>
      </c>
      <c r="E9" s="5" t="inlineStr">
        <is>
          <t>Redstone wale ne after plus 10%</t>
        </is>
      </c>
      <c r="F9" s="5" t="inlineStr"/>
      <c r="G9" s="5" t="inlineStr"/>
    </row>
    <row r="10">
      <c r="A10" s="5" t="inlineStr">
        <is>
          <t>Happy</t>
        </is>
      </c>
      <c r="B10" s="7" t="n">
        <v>46133</v>
      </c>
      <c r="C10" s="5">
        <f>IF(ISNUMBER(B10),TEXT(B10,"mmm yyyy"),"No date")</f>
        <v/>
      </c>
      <c r="D10" s="6" t="n">
        <v>111000</v>
      </c>
      <c r="E10" s="5" t="inlineStr">
        <is>
          <t>Bhola Prachoon</t>
        </is>
      </c>
      <c r="F10" s="5" t="inlineStr">
        <is>
          <t>14000 (dukaan de khrche da kateya)</t>
        </is>
      </c>
      <c r="G10" s="5" t="inlineStr"/>
    </row>
    <row r="11">
      <c r="A11" s="5" t="inlineStr">
        <is>
          <t>Happy</t>
        </is>
      </c>
      <c r="B11" s="7" t="n">
        <v>46140</v>
      </c>
      <c r="C11" s="5">
        <f>IF(ISNUMBER(B11),TEXT(B11,"mmm yyyy"),"No date")</f>
        <v/>
      </c>
      <c r="D11" s="6" t="n">
        <v>100000</v>
      </c>
      <c r="E11" s="5" t="inlineStr">
        <is>
          <t>Mobile Pawas Kol</t>
        </is>
      </c>
      <c r="F11" s="5" t="inlineStr"/>
      <c r="G11" s="5" t="inlineStr"/>
    </row>
    <row r="12">
      <c r="A12" s="5" t="inlineStr">
        <is>
          <t>Happy</t>
        </is>
      </c>
      <c r="B12" s="7" t="n">
        <v>46140</v>
      </c>
      <c r="C12" s="5">
        <f>IF(ISNUMBER(B12),TEXT(B12,"mmm yyyy"),"No date")</f>
        <v/>
      </c>
      <c r="D12" s="6" t="n">
        <v>164000</v>
      </c>
      <c r="E12" s="5" t="inlineStr">
        <is>
          <t>99 Guru Kirpa</t>
        </is>
      </c>
      <c r="F12" s="5" t="inlineStr"/>
      <c r="G12" s="5" t="inlineStr"/>
    </row>
    <row r="13">
      <c r="A13" s="5" t="inlineStr">
        <is>
          <t>Happy</t>
        </is>
      </c>
      <c r="B13" s="7" t="n">
        <v>46140</v>
      </c>
      <c r="C13" s="5">
        <f>IF(ISNUMBER(B13),TEXT(B13,"mmm yyyy"),"No date")</f>
        <v/>
      </c>
      <c r="D13" s="6" t="n">
        <v>75000</v>
      </c>
      <c r="E13" s="5" t="inlineStr">
        <is>
          <t>99 Guru Kirpa</t>
        </is>
      </c>
      <c r="F13" s="5" t="inlineStr">
        <is>
          <t>1st Floor</t>
        </is>
      </c>
      <c r="G13" s="5" t="inlineStr"/>
    </row>
    <row r="14">
      <c r="A14" s="5" t="inlineStr">
        <is>
          <t>Happy</t>
        </is>
      </c>
      <c r="B14" s="7" t="n">
        <v>46140</v>
      </c>
      <c r="C14" s="5">
        <f>IF(ISNUMBER(B14),TEXT(B14,"mmm yyyy"),"No date")</f>
        <v/>
      </c>
      <c r="D14" s="6" t="n">
        <v>164000</v>
      </c>
      <c r="E14" s="5" t="inlineStr">
        <is>
          <t>Kaler Garments</t>
        </is>
      </c>
      <c r="F14" s="5" t="inlineStr"/>
      <c r="G14" s="5" t="inlineStr"/>
    </row>
    <row r="15">
      <c r="A15" s="5" t="inlineStr">
        <is>
          <t>Happy</t>
        </is>
      </c>
      <c r="B15" s="7" t="n">
        <v>46140</v>
      </c>
      <c r="C15" s="5">
        <f>IF(ISNUMBER(B15),TEXT(B15,"mmm yyyy"),"No date")</f>
        <v/>
      </c>
      <c r="D15" s="6" t="n">
        <v>61000</v>
      </c>
      <c r="E15" s="5" t="inlineStr">
        <is>
          <t>Kaler Garments</t>
        </is>
      </c>
      <c r="F15" s="5" t="inlineStr">
        <is>
          <t>1st Floor (14000 ktte paudi de)</t>
        </is>
      </c>
      <c r="G15" s="5" t="inlineStr"/>
    </row>
    <row r="16">
      <c r="A16" s="5" t="inlineStr">
        <is>
          <t>Happy</t>
        </is>
      </c>
      <c r="B16" s="7" t="n">
        <v>46141</v>
      </c>
      <c r="C16" s="5">
        <f>IF(ISNUMBER(B16),TEXT(B16,"mmm yyyy"),"No date")</f>
        <v/>
      </c>
      <c r="D16" s="6" t="n">
        <v>25000</v>
      </c>
      <c r="E16" s="5" t="inlineStr">
        <is>
          <t>Mobile Pawas Kol</t>
        </is>
      </c>
      <c r="F16" s="5" t="inlineStr"/>
      <c r="G16" s="5" t="inlineStr"/>
    </row>
    <row r="17">
      <c r="A17" s="5" t="inlineStr">
        <is>
          <t>Happy</t>
        </is>
      </c>
      <c r="B17" s="7" t="n">
        <v>46141</v>
      </c>
      <c r="C17" s="5">
        <f>IF(ISNUMBER(B17),TEXT(B17,"mmm yyyy"),"No date")</f>
        <v/>
      </c>
      <c r="D17" s="6" t="n">
        <v>16400</v>
      </c>
      <c r="E17" s="5" t="inlineStr">
        <is>
          <t>99 Guru Kirpa</t>
        </is>
      </c>
      <c r="F17" s="5" t="inlineStr">
        <is>
          <t>10% Bottom Shop</t>
        </is>
      </c>
      <c r="G17" s="5" t="inlineStr"/>
    </row>
    <row r="18">
      <c r="A18" s="5" t="inlineStr">
        <is>
          <t>Happy</t>
        </is>
      </c>
      <c r="B18" s="7" t="n">
        <v>46143</v>
      </c>
      <c r="C18" s="5">
        <f>IF(ISNUMBER(B18),TEXT(B18,"mmm yyyy"),"No date")</f>
        <v/>
      </c>
      <c r="D18" s="6" t="n">
        <v>200000</v>
      </c>
      <c r="E18" s="5" t="inlineStr">
        <is>
          <t>99 Jasveer</t>
        </is>
      </c>
      <c r="F18" s="5" t="inlineStr"/>
      <c r="G18" s="5" t="inlineStr"/>
    </row>
    <row r="19">
      <c r="A19" s="5" t="inlineStr">
        <is>
          <t>Happy</t>
        </is>
      </c>
      <c r="B19" s="7" t="n">
        <v>46146</v>
      </c>
      <c r="C19" s="5">
        <f>IF(ISNUMBER(B19),TEXT(B19,"mmm yyyy"),"No date")</f>
        <v/>
      </c>
      <c r="D19" s="6" t="n">
        <v>90000</v>
      </c>
      <c r="E19" s="5" t="inlineStr">
        <is>
          <t>Spare Parts</t>
        </is>
      </c>
      <c r="F19" s="5" t="inlineStr"/>
      <c r="G19" s="5" t="inlineStr"/>
    </row>
    <row r="20">
      <c r="A20" s="5" t="inlineStr">
        <is>
          <t>Happy</t>
        </is>
      </c>
      <c r="B20" s="7" t="n">
        <v>46148</v>
      </c>
      <c r="C20" s="5">
        <f>IF(ISNUMBER(B20),TEXT(B20,"mmm yyyy"),"No date")</f>
        <v/>
      </c>
      <c r="D20" s="6" t="n">
        <v>125000</v>
      </c>
      <c r="E20" s="5" t="inlineStr">
        <is>
          <t>Beaty Fashion Cosmetics</t>
        </is>
      </c>
      <c r="F20" s="5" t="inlineStr"/>
      <c r="G20" s="5" t="inlineStr"/>
    </row>
    <row r="21">
      <c r="A21" s="5" t="inlineStr">
        <is>
          <t>Happy</t>
        </is>
      </c>
      <c r="B21" s="7" t="n">
        <v>46150</v>
      </c>
      <c r="C21" s="5">
        <f>IF(ISNUMBER(B21),TEXT(B21,"mmm yyyy"),"No date")</f>
        <v/>
      </c>
      <c r="D21" s="6" t="n">
        <v>131000</v>
      </c>
      <c r="E21" s="5" t="inlineStr">
        <is>
          <t>Sanders Island</t>
        </is>
      </c>
      <c r="F21" s="5" t="inlineStr"/>
      <c r="G21" s="5" t="inlineStr"/>
    </row>
    <row r="22">
      <c r="A22" s="5" t="inlineStr">
        <is>
          <t>Happy</t>
        </is>
      </c>
      <c r="B22" s="7" t="n">
        <v>46152</v>
      </c>
      <c r="C22" s="5">
        <f>IF(ISNUMBER(B22),TEXT(B22,"mmm yyyy"),"No date")</f>
        <v/>
      </c>
      <c r="D22" s="6" t="n">
        <v>72000</v>
      </c>
      <c r="E22" s="5" t="inlineStr">
        <is>
          <t>Jassi Nai Kol si jehdi</t>
        </is>
      </c>
      <c r="F22" s="5" t="inlineStr"/>
      <c r="G22" s="5" t="inlineStr"/>
    </row>
    <row r="23">
      <c r="A23" s="5" t="inlineStr">
        <is>
          <t>Happy</t>
        </is>
      </c>
      <c r="B23" s="7" t="n">
        <v>46155</v>
      </c>
      <c r="C23" s="5">
        <f>IF(ISNUMBER(B23),TEXT(B23,"mmm yyyy"),"No date")</f>
        <v/>
      </c>
      <c r="D23" s="6" t="n">
        <v>180000</v>
      </c>
      <c r="E23" s="5" t="inlineStr">
        <is>
          <t>Preet Beauty</t>
        </is>
      </c>
      <c r="F23" s="5" t="inlineStr"/>
      <c r="G23" s="5" t="inlineStr"/>
    </row>
    <row r="24">
      <c r="A24" s="5" t="inlineStr">
        <is>
          <t>Happy</t>
        </is>
      </c>
      <c r="B24" s="7" t="n">
        <v>46155</v>
      </c>
      <c r="C24" s="5">
        <f>IF(ISNUMBER(B24),TEXT(B24,"mmm yyyy"),"No date")</f>
        <v/>
      </c>
      <c r="D24" s="6" t="n">
        <v>90000</v>
      </c>
      <c r="E24" s="5" t="inlineStr">
        <is>
          <t>Preet Lehnga</t>
        </is>
      </c>
      <c r="F24" s="5" t="inlineStr">
        <is>
          <t>1st Floor</t>
        </is>
      </c>
      <c r="G24" s="5" t="inlineStr"/>
    </row>
    <row r="25">
      <c r="A25" s="5" t="inlineStr">
        <is>
          <t>Happy</t>
        </is>
      </c>
      <c r="B25" s="7" t="n">
        <v>46155</v>
      </c>
      <c r="C25" s="5">
        <f>IF(ISNUMBER(B25),TEXT(B25,"mmm yyyy"),"No date")</f>
        <v/>
      </c>
      <c r="D25" s="6" t="n">
        <v>165000</v>
      </c>
      <c r="E25" s="5" t="inlineStr">
        <is>
          <t>Preet Lehnga</t>
        </is>
      </c>
      <c r="F25" s="5" t="inlineStr"/>
      <c r="G25" s="5" t="inlineStr"/>
    </row>
    <row r="26">
      <c r="A26" s="5" t="inlineStr">
        <is>
          <t>Happy</t>
        </is>
      </c>
      <c r="B26" s="7" t="n">
        <v>46156</v>
      </c>
      <c r="C26" s="5">
        <f>IF(ISNUMBER(B26),TEXT(B26,"mmm yyyy"),"No date")</f>
        <v/>
      </c>
      <c r="D26" s="6" t="n">
        <v>264000</v>
      </c>
      <c r="E26" s="5" t="inlineStr">
        <is>
          <t>Mahaveer Bakery</t>
        </is>
      </c>
      <c r="F26" s="5" t="inlineStr"/>
      <c r="G26" s="5" t="inlineStr"/>
    </row>
    <row r="27">
      <c r="A27" s="5" t="inlineStr">
        <is>
          <t>Happy</t>
        </is>
      </c>
      <c r="B27" s="7" t="n">
        <v>46156</v>
      </c>
      <c r="C27" s="5">
        <f>IF(ISNUMBER(B27),TEXT(B27,"mmm yyyy"),"No date")</f>
        <v/>
      </c>
      <c r="D27" s="6" t="n">
        <v>132000</v>
      </c>
      <c r="E27" s="5" t="inlineStr">
        <is>
          <t>Heera Shoes (New Royal)</t>
        </is>
      </c>
      <c r="F27" s="5" t="inlineStr"/>
      <c r="G27" s="5" t="inlineStr"/>
    </row>
    <row r="28">
      <c r="A28" s="5" t="inlineStr">
        <is>
          <t>Happy</t>
        </is>
      </c>
      <c r="B28" s="7" t="n">
        <v>46157</v>
      </c>
      <c r="C28" s="5">
        <f>IF(ISNUMBER(B28),TEXT(B28,"mmm yyyy"),"No date")</f>
        <v/>
      </c>
      <c r="D28" s="6" t="n">
        <v>300000</v>
      </c>
      <c r="E28" s="5" t="inlineStr">
        <is>
          <t>Rafooji Kadilayia</t>
        </is>
      </c>
      <c r="F28" s="5" t="inlineStr"/>
      <c r="G28" s="5" t="inlineStr"/>
    </row>
    <row r="29">
      <c r="A29" s="5" t="inlineStr">
        <is>
          <t>Happy</t>
        </is>
      </c>
      <c r="B29" s="7" t="n">
        <v>46158</v>
      </c>
      <c r="C29" s="5">
        <f>IF(ISNUMBER(B29),TEXT(B29,"mmm yyyy"),"No date")</f>
        <v/>
      </c>
      <c r="D29" s="6" t="n">
        <v>52000</v>
      </c>
      <c r="E29" s="5" t="inlineStr">
        <is>
          <t>Mobile Lab</t>
        </is>
      </c>
      <c r="F29" s="5" t="inlineStr"/>
      <c r="G29" s="5" t="inlineStr"/>
    </row>
    <row r="30">
      <c r="A30" s="5" t="inlineStr">
        <is>
          <t>Happy</t>
        </is>
      </c>
      <c r="B30" s="7" t="n">
        <v>46158</v>
      </c>
      <c r="C30" s="5">
        <f>IF(ISNUMBER(B30),TEXT(B30,"mmm yyyy"),"No date")</f>
        <v/>
      </c>
      <c r="D30" s="6" t="n">
        <v>260000</v>
      </c>
      <c r="E30" s="5" t="inlineStr">
        <is>
          <t>Aujla Lehnga</t>
        </is>
      </c>
      <c r="F30" s="5" t="inlineStr"/>
      <c r="G30" s="5" t="inlineStr"/>
    </row>
    <row r="31">
      <c r="A31" s="5" t="inlineStr">
        <is>
          <t>Happy</t>
        </is>
      </c>
      <c r="B31" s="7" t="n">
        <v>46159</v>
      </c>
      <c r="C31" s="5">
        <f>IF(ISNUMBER(B31),TEXT(B31,"mmm yyyy"),"No date")</f>
        <v/>
      </c>
      <c r="D31" s="6" t="n">
        <v>52000</v>
      </c>
      <c r="E31" s="5" t="inlineStr">
        <is>
          <t>Mannat Clothing</t>
        </is>
      </c>
      <c r="F31" s="5" t="inlineStr"/>
      <c r="G31" s="5" t="inlineStr"/>
    </row>
    <row r="32">
      <c r="A32" s="5" t="inlineStr">
        <is>
          <t>Happy</t>
        </is>
      </c>
      <c r="B32" s="7" t="n">
        <v>46160</v>
      </c>
      <c r="C32" s="5">
        <f>IF(ISNUMBER(B32),TEXT(B32,"mmm yyyy"),"No date")</f>
        <v/>
      </c>
      <c r="D32" s="6" t="n">
        <v>143000</v>
      </c>
      <c r="E32" s="5" t="inlineStr">
        <is>
          <t>Alex Saloon</t>
        </is>
      </c>
      <c r="F32" s="5" t="inlineStr"/>
      <c r="G32" s="5" t="inlineStr"/>
    </row>
    <row r="33">
      <c r="A33" s="5" t="inlineStr">
        <is>
          <t>Happy</t>
        </is>
      </c>
      <c r="B33" s="7" t="n">
        <v>46162</v>
      </c>
      <c r="C33" s="5">
        <f>IF(ISNUMBER(B33),TEXT(B33,"mmm yyyy"),"No date")</f>
        <v/>
      </c>
      <c r="D33" s="6" t="n">
        <v>85000</v>
      </c>
      <c r="E33" s="5" t="inlineStr">
        <is>
          <t>Kirayana Wali dukaan</t>
        </is>
      </c>
      <c r="F33" s="5" t="inlineStr">
        <is>
          <t>Curtains wala (rodde waali)</t>
        </is>
      </c>
      <c r="G33" s="5" t="inlineStr"/>
    </row>
    <row r="34">
      <c r="A34" s="5" t="inlineStr">
        <is>
          <t>Happy</t>
        </is>
      </c>
      <c r="B34" s="7" t="n">
        <v>46163</v>
      </c>
      <c r="C34" s="5">
        <f>IF(ISNUMBER(B34),TEXT(B34,"mmm yyyy"),"No date")</f>
        <v/>
      </c>
      <c r="D34" s="6" t="n">
        <v>50000</v>
      </c>
      <c r="E34" s="5" t="inlineStr">
        <is>
          <t>Syama Attar</t>
        </is>
      </c>
      <c r="F34" s="5" t="inlineStr"/>
      <c r="G34" s="5" t="inlineStr"/>
    </row>
    <row r="35">
      <c r="A35" s="5" t="inlineStr">
        <is>
          <t>Happy</t>
        </is>
      </c>
      <c r="B35" s="7" t="n">
        <v>46163</v>
      </c>
      <c r="C35" s="5">
        <f>IF(ISNUMBER(B35),TEXT(B35,"mmm yyyy"),"No date")</f>
        <v/>
      </c>
      <c r="D35" s="6" t="n">
        <v>300000</v>
      </c>
      <c r="E35" s="5" t="inlineStr">
        <is>
          <t>Vinod Shoes</t>
        </is>
      </c>
      <c r="F35" s="5" t="inlineStr"/>
      <c r="G35" s="5" t="inlineStr"/>
    </row>
    <row r="36">
      <c r="A36" s="5" t="inlineStr">
        <is>
          <t>Happy</t>
        </is>
      </c>
      <c r="B36" s="7" t="n">
        <v>46164</v>
      </c>
      <c r="C36" s="5">
        <f>IF(ISNUMBER(B36),TEXT(B36,"mmm yyyy"),"No date")</f>
        <v/>
      </c>
      <c r="D36" s="6" t="n">
        <v>80000</v>
      </c>
      <c r="E36" s="5" t="inlineStr">
        <is>
          <t>Urban Touch</t>
        </is>
      </c>
      <c r="F36" s="5" t="inlineStr"/>
      <c r="G36" s="5" t="inlineStr"/>
    </row>
    <row r="37">
      <c r="A37" s="5" t="inlineStr">
        <is>
          <t>Happy</t>
        </is>
      </c>
      <c r="B37" s="7" t="n">
        <v>46166</v>
      </c>
      <c r="C37" s="5">
        <f>IF(ISNUMBER(B37),TEXT(B37,"mmm yyyy"),"No date")</f>
        <v/>
      </c>
      <c r="D37" s="6" t="n">
        <v>300000</v>
      </c>
      <c r="E37" s="5" t="inlineStr">
        <is>
          <t>Fulka Booth House</t>
        </is>
      </c>
      <c r="F37" s="5" t="inlineStr"/>
      <c r="G37" s="5" t="inlineStr"/>
    </row>
    <row r="38">
      <c r="A38" s="5" t="inlineStr">
        <is>
          <t>Happy</t>
        </is>
      </c>
      <c r="B38" s="7" t="n">
        <v>46166</v>
      </c>
      <c r="C38" s="5">
        <f>IF(ISNUMBER(B38),TEXT(B38,"mmm yyyy"),"No date")</f>
        <v/>
      </c>
      <c r="D38" s="6" t="n">
        <v>300000</v>
      </c>
      <c r="E38" s="5" t="inlineStr">
        <is>
          <t>Ajay Garments</t>
        </is>
      </c>
      <c r="F38" s="5" t="inlineStr"/>
      <c r="G38" s="5" t="inlineStr"/>
    </row>
    <row r="39">
      <c r="A39" s="5" t="inlineStr">
        <is>
          <t>Happy</t>
        </is>
      </c>
      <c r="B39" s="7" t="n">
        <v>46171</v>
      </c>
      <c r="C39" s="5">
        <f>IF(ISNUMBER(B39),TEXT(B39,"mmm yyyy"),"No date")</f>
        <v/>
      </c>
      <c r="D39" s="6" t="n">
        <v>140000</v>
      </c>
      <c r="E39" s="5" t="inlineStr">
        <is>
          <t>7 Hut</t>
        </is>
      </c>
      <c r="F39" s="5" t="inlineStr"/>
      <c r="G39" s="5" t="inlineStr"/>
    </row>
    <row r="40">
      <c r="A40" s="5" t="inlineStr">
        <is>
          <t>Happy</t>
        </is>
      </c>
      <c r="B40" s="7" t="n">
        <v>46170</v>
      </c>
      <c r="C40" s="5">
        <f>IF(ISNUMBER(B40),TEXT(B40,"mmm yyyy"),"No date")</f>
        <v/>
      </c>
      <c r="D40" s="6" t="n">
        <v>5000</v>
      </c>
      <c r="E40" s="5" t="inlineStr">
        <is>
          <t>Sai (Tattoo Wala)</t>
        </is>
      </c>
      <c r="F40" s="5" t="inlineStr"/>
      <c r="G40" s="5" t="inlineStr"/>
    </row>
    <row r="41">
      <c r="A41" s="5" t="inlineStr">
        <is>
          <t>Happy</t>
        </is>
      </c>
      <c r="B41" s="7" t="n">
        <v>46089</v>
      </c>
      <c r="C41" s="5">
        <f>IF(ISNUMBER(B41),TEXT(B41,"mmm yyyy"),"No date")</f>
        <v/>
      </c>
      <c r="D41" s="6" t="n">
        <v>8000</v>
      </c>
      <c r="E41" s="5" t="inlineStr">
        <is>
          <t>Sai (Daske Wali Zameen 75000 Theke te)</t>
        </is>
      </c>
      <c r="F41" s="5" t="inlineStr"/>
      <c r="G41" s="5" t="inlineStr"/>
    </row>
    <row r="42">
      <c r="A42" s="5" t="inlineStr">
        <is>
          <t>Happy</t>
        </is>
      </c>
      <c r="B42" s="7" t="n">
        <v>46170</v>
      </c>
      <c r="C42" s="5">
        <f>IF(ISNUMBER(B42),TEXT(B42,"mmm yyyy"),"No date")</f>
        <v/>
      </c>
      <c r="D42" s="6" t="n">
        <v>70000</v>
      </c>
      <c r="E42" s="5" t="inlineStr">
        <is>
          <t>Tehe wale zameen</t>
        </is>
      </c>
      <c r="F42" s="5" t="inlineStr"/>
      <c r="G42" s="5" t="inlineStr"/>
    </row>
    <row r="43">
      <c r="A43" s="5" t="inlineStr">
        <is>
          <t>Happy</t>
        </is>
      </c>
      <c r="B43" s="7" t="n">
        <v>46170</v>
      </c>
      <c r="C43" s="5">
        <f>IF(ISNUMBER(B43),TEXT(B43,"mmm yyyy"),"No date")</f>
        <v/>
      </c>
      <c r="D43" s="6" t="n">
        <v>25000</v>
      </c>
      <c r="E43" s="5" t="inlineStr">
        <is>
          <t>Sai (Preet lehnga big hall)</t>
        </is>
      </c>
      <c r="F43" s="5" t="inlineStr">
        <is>
          <t>1st Floor</t>
        </is>
      </c>
      <c r="G43" s="5" t="inlineStr"/>
    </row>
    <row r="44">
      <c r="A44" s="5" t="inlineStr">
        <is>
          <t>Happy</t>
        </is>
      </c>
      <c r="B44" s="7" t="n">
        <v>46170</v>
      </c>
      <c r="C44" s="5">
        <f>IF(ISNUMBER(B44),TEXT(B44,"mmm yyyy"),"No date")</f>
        <v/>
      </c>
      <c r="D44" s="6" t="n">
        <v>150000</v>
      </c>
      <c r="E44" s="5" t="inlineStr">
        <is>
          <t>Patran Wala Parlour (2 x shops)</t>
        </is>
      </c>
      <c r="F44" s="5" t="inlineStr">
        <is>
          <t>1st Floor</t>
        </is>
      </c>
      <c r="G44" s="5" t="inlineStr"/>
    </row>
    <row r="45">
      <c r="A45" s="5" t="inlineStr">
        <is>
          <t>Happy</t>
        </is>
      </c>
      <c r="B45" s="7" t="n">
        <v>46170</v>
      </c>
      <c r="C45" s="5">
        <f>IF(ISNUMBER(B45),TEXT(B45,"mmm yyyy"),"No date")</f>
        <v/>
      </c>
      <c r="D45" s="6" t="n">
        <v>165000</v>
      </c>
      <c r="E45" s="5" t="inlineStr">
        <is>
          <t>Goldy Lehnga</t>
        </is>
      </c>
      <c r="F45" s="5" t="inlineStr"/>
      <c r="G45" s="5" t="inlineStr"/>
    </row>
    <row r="46">
      <c r="A46" s="5" t="inlineStr">
        <is>
          <t>Happy</t>
        </is>
      </c>
      <c r="B46" s="7" t="n">
        <v>46176</v>
      </c>
      <c r="C46" s="5">
        <f>IF(ISNUMBER(B46),TEXT(B46,"mmm yyyy"),"No date")</f>
        <v/>
      </c>
      <c r="D46" s="6" t="n">
        <v>70000</v>
      </c>
      <c r="E46" s="5" t="inlineStr">
        <is>
          <t>Patran Wala Parlour (2 x shops)</t>
        </is>
      </c>
      <c r="F46" s="5" t="inlineStr">
        <is>
          <t>1st Floor</t>
        </is>
      </c>
      <c r="G46" s="5" t="inlineStr"/>
    </row>
    <row r="47">
      <c r="A47" s="5" t="inlineStr">
        <is>
          <t>Happy</t>
        </is>
      </c>
      <c r="B47" s="7" t="n">
        <v>46183</v>
      </c>
      <c r="C47" s="5">
        <f>IF(ISNUMBER(B47),TEXT(B47,"mmm yyyy"),"No date")</f>
        <v/>
      </c>
      <c r="D47" s="6" t="n">
        <v>40000</v>
      </c>
      <c r="E47" s="5" t="inlineStr">
        <is>
          <t>Urban Belize</t>
        </is>
      </c>
      <c r="F47" s="5" t="inlineStr"/>
      <c r="G47" s="5" t="inlineStr"/>
    </row>
    <row r="48">
      <c r="A48" s="5" t="inlineStr">
        <is>
          <t>Dad</t>
        </is>
      </c>
      <c r="B48" s="7" t="n">
        <v>46109</v>
      </c>
      <c r="C48" s="5">
        <f>IF(ISNUMBER(B48),TEXT(B48,"mmm yyyy"),"No date")</f>
        <v/>
      </c>
      <c r="D48" s="6" t="n">
        <v>45000</v>
      </c>
      <c r="E48" s="5" t="inlineStr">
        <is>
          <t>Gyani Gurjant Toorbanjare Wala Kadai Wala</t>
        </is>
      </c>
      <c r="F48" s="5" t="inlineStr">
        <is>
          <t>Pawas kol shop</t>
        </is>
      </c>
      <c r="G48" s="5" t="inlineStr"/>
      <c r="H48" s="5" t="inlineStr">
        <is>
          <t>Kiraya</t>
        </is>
      </c>
    </row>
    <row r="49">
      <c r="A49" s="5" t="inlineStr">
        <is>
          <t>Dad</t>
        </is>
      </c>
      <c r="B49" s="7" t="n">
        <v>46114</v>
      </c>
      <c r="C49" s="5">
        <f>IF(ISNUMBER(B49),TEXT(B49,"mmm yyyy"),"No date")</f>
        <v/>
      </c>
      <c r="D49" s="6" t="n">
        <v>45000</v>
      </c>
      <c r="E49" s="5" t="inlineStr">
        <is>
          <t>Kewal da Munda</t>
        </is>
      </c>
      <c r="F49" s="5" t="inlineStr"/>
      <c r="G49" s="5" t="inlineStr"/>
      <c r="H49" s="6" t="n">
        <v>4982200</v>
      </c>
    </row>
    <row r="50">
      <c r="A50" s="5" t="inlineStr">
        <is>
          <t>Dad</t>
        </is>
      </c>
      <c r="B50" s="7" t="n">
        <v>46114</v>
      </c>
      <c r="C50" s="5">
        <f>IF(ISNUMBER(B50),TEXT(B50,"mmm yyyy"),"No date")</f>
        <v/>
      </c>
      <c r="D50" s="6" t="n">
        <v>40000</v>
      </c>
      <c r="E50" s="5" t="inlineStr">
        <is>
          <t>Jaggi</t>
        </is>
      </c>
      <c r="F50" s="5" t="inlineStr">
        <is>
          <t>5000 (dukaan de khrche da kateya)</t>
        </is>
      </c>
      <c r="G50" s="5" t="inlineStr"/>
    </row>
    <row r="51">
      <c r="A51" s="5" t="inlineStr">
        <is>
          <t>Dad</t>
        </is>
      </c>
      <c r="B51" s="5" t="inlineStr">
        <is>
          <t>NA</t>
        </is>
      </c>
      <c r="C51" s="5">
        <f>IF(ISNUMBER(B51),TEXT(B51,"mmm yyyy"),"No date")</f>
        <v/>
      </c>
      <c r="D51" s="6" t="n">
        <v>150000</v>
      </c>
      <c r="E51" s="5" t="inlineStr">
        <is>
          <t>Ishu</t>
        </is>
      </c>
      <c r="F51" s="5" t="inlineStr"/>
      <c r="G51" s="5" t="inlineStr"/>
    </row>
    <row r="52">
      <c r="A52" s="5" t="inlineStr">
        <is>
          <t>Dad</t>
        </is>
      </c>
      <c r="B52" s="7" t="n">
        <v>46174</v>
      </c>
      <c r="C52" s="5">
        <f>IF(ISNUMBER(B52),TEXT(B52,"mmm yyyy"),"No date")</f>
        <v/>
      </c>
      <c r="D52" s="6" t="n">
        <v>400000</v>
      </c>
      <c r="E52" s="5" t="inlineStr">
        <is>
          <t>Pawas</t>
        </is>
      </c>
      <c r="F52" s="5" t="inlineStr"/>
      <c r="G52" s="5" t="inlineStr"/>
    </row>
    <row r="53">
      <c r="A53" s="5" t="inlineStr">
        <is>
          <t>Harsh</t>
        </is>
      </c>
      <c r="B53" s="5" t="inlineStr">
        <is>
          <t>NA</t>
        </is>
      </c>
      <c r="C53" s="5">
        <f>IF(ISNUMBER(B53),TEXT(B53,"mmm yyyy"),"No date")</f>
        <v/>
      </c>
      <c r="D53" s="6" t="n">
        <v>333750</v>
      </c>
      <c r="E53" s="5" t="inlineStr">
        <is>
          <t>Shops</t>
        </is>
      </c>
      <c r="F53" s="5" t="inlineStr"/>
      <c r="G53" s="5" t="inlineStr"/>
    </row>
    <row r="54"/>
    <row r="55">
      <c r="C55" s="8" t="inlineStr">
        <is>
          <t>Total</t>
        </is>
      </c>
      <c r="D55" s="9">
        <f>SUM(D5:D53)</f>
        <v/>
      </c>
    </row>
  </sheetData>
  <autoFilter ref="A4:H53"/>
  <mergeCells count="2">
    <mergeCell ref="A2:G2"/>
    <mergeCell ref="A1:G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Summary</t>
        </is>
      </c>
    </row>
    <row r="2">
      <c r="A2" s="2" t="inlineStr">
        <is>
          <t>Formula-driven totals by person and month.</t>
        </is>
      </c>
    </row>
    <row r="3"/>
    <row r="4">
      <c r="A4" s="3" t="inlineStr">
        <is>
          <t>Person</t>
        </is>
      </c>
      <c r="B4" s="3" t="inlineStr">
        <is>
          <t>Collections</t>
        </is>
      </c>
      <c r="C4" s="3" t="inlineStr">
        <is>
          <t>Share</t>
        </is>
      </c>
      <c r="D4" s="3" t="inlineStr">
        <is>
          <t>Balance vs Share</t>
        </is>
      </c>
      <c r="E4" s="4" t="n"/>
      <c r="F4" s="4" t="n"/>
      <c r="G4" s="4" t="n"/>
    </row>
    <row r="5">
      <c r="A5" s="5" t="inlineStr">
        <is>
          <t>Happy</t>
        </is>
      </c>
      <c r="B5" s="6">
        <f>SUMIF(Transactions!A:A,A5,Transactions!D:D)</f>
        <v/>
      </c>
      <c r="C5" s="6">
        <f>Dashboard!$B$8/3</f>
        <v/>
      </c>
      <c r="D5" s="6">
        <f>C5-B5</f>
        <v/>
      </c>
    </row>
    <row r="6">
      <c r="A6" s="5" t="inlineStr">
        <is>
          <t>Dad</t>
        </is>
      </c>
      <c r="B6" s="6">
        <f>SUMIF(Transactions!A:A,A6,Transactions!D:D)</f>
        <v/>
      </c>
      <c r="C6" s="6">
        <f>Dashboard!$B$8/3</f>
        <v/>
      </c>
      <c r="D6" s="6">
        <f>C6-B6</f>
        <v/>
      </c>
    </row>
    <row r="7">
      <c r="A7" s="5" t="inlineStr">
        <is>
          <t>Harsh</t>
        </is>
      </c>
      <c r="B7" s="6">
        <f>SUMIF(Transactions!A:A,A7,Transactions!D:D)</f>
        <v/>
      </c>
      <c r="C7" s="6">
        <f>Dashboard!$B$8/3</f>
        <v/>
      </c>
      <c r="D7" s="6">
        <f>C7-B7</f>
        <v/>
      </c>
    </row>
    <row r="8">
      <c r="A8" s="8" t="inlineStr">
        <is>
          <t>Total</t>
        </is>
      </c>
      <c r="B8" s="9">
        <f>SUM(B5:B7)</f>
        <v/>
      </c>
      <c r="C8" s="9">
        <f>SUM(C5:C7)</f>
        <v/>
      </c>
      <c r="D8" s="9">
        <f>SUM(D5:D7)</f>
        <v/>
      </c>
    </row>
    <row r="9"/>
    <row r="10"/>
    <row r="11">
      <c r="A11" s="3" t="inlineStr">
        <is>
          <t>Month</t>
        </is>
      </c>
      <c r="B11" s="3" t="inlineStr">
        <is>
          <t>Collections</t>
        </is>
      </c>
    </row>
    <row r="12">
      <c r="A12" s="5" t="inlineStr">
        <is>
          <t>Mar 2026</t>
        </is>
      </c>
      <c r="B12" s="6">
        <f>SUMIF(Transactions!C:C,A12,Transactions!D:D)</f>
        <v/>
      </c>
    </row>
    <row r="13">
      <c r="A13" s="5" t="inlineStr">
        <is>
          <t>Apr 2026</t>
        </is>
      </c>
      <c r="B13" s="6">
        <f>SUMIF(Transactions!C:C,A13,Transactions!D:D)</f>
        <v/>
      </c>
    </row>
    <row r="14">
      <c r="A14" s="5" t="inlineStr">
        <is>
          <t>May 2026</t>
        </is>
      </c>
      <c r="B14" s="6">
        <f>SUMIF(Transactions!C:C,A14,Transactions!D:D)</f>
        <v/>
      </c>
    </row>
    <row r="15">
      <c r="A15" s="5" t="inlineStr">
        <is>
          <t>Jun 2026</t>
        </is>
      </c>
      <c r="B15" s="6">
        <f>SUMIF(Transactions!C:C,A15,Transactions!D:D)</f>
        <v/>
      </c>
    </row>
    <row r="16">
      <c r="A16" s="5" t="inlineStr">
        <is>
          <t>No date</t>
        </is>
      </c>
      <c r="B16" s="6">
        <f>SUMIF(Transactions!C:C,A16,Transactions!D:D)</f>
        <v/>
      </c>
    </row>
  </sheetData>
  <mergeCells count="2">
    <mergeCell ref="A2:G2"/>
    <mergeCell ref="A1:G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Settlement</t>
        </is>
      </c>
    </row>
    <row r="2">
      <c r="A2" s="2" t="inlineStr">
        <is>
          <t>Original lower settlement block preserved in a clear table.</t>
        </is>
      </c>
    </row>
    <row r="3"/>
    <row r="4">
      <c r="A4" s="3" t="inlineStr">
        <is>
          <t>Person / Item</t>
        </is>
      </c>
      <c r="B4" s="3" t="inlineStr">
        <is>
          <t>Share / Base</t>
        </is>
      </c>
      <c r="C4" s="3" t="inlineStr">
        <is>
          <t>Collected / Paid</t>
        </is>
      </c>
      <c r="D4" s="3" t="inlineStr">
        <is>
          <t>Balance</t>
        </is>
      </c>
      <c r="E4" s="3" t="inlineStr">
        <is>
          <t>Adjustment / Note</t>
        </is>
      </c>
      <c r="F4" s="4" t="n"/>
      <c r="G4" s="4" t="n"/>
    </row>
    <row r="5">
      <c r="A5" s="5" t="inlineStr">
        <is>
          <t>Dad</t>
        </is>
      </c>
      <c r="B5" s="6" t="n">
        <v>1981490</v>
      </c>
      <c r="C5" s="6" t="n">
        <v>680000</v>
      </c>
      <c r="D5" s="6" t="n">
        <v>1301490</v>
      </c>
      <c r="E5" s="6" t="n">
        <v>1138500</v>
      </c>
    </row>
    <row r="6">
      <c r="A6" s="5" t="inlineStr">
        <is>
          <t>Harsh</t>
        </is>
      </c>
      <c r="B6" s="6" t="n">
        <v>1981490</v>
      </c>
      <c r="C6" s="6" t="n">
        <v>333750</v>
      </c>
      <c r="D6" s="6" t="n">
        <v>1647740</v>
      </c>
      <c r="E6" s="6" t="n">
        <v>1484000</v>
      </c>
    </row>
    <row r="7">
      <c r="A7" s="5" t="inlineStr">
        <is>
          <t>Happy</t>
        </is>
      </c>
      <c r="B7" s="6" t="n">
        <v>1981490</v>
      </c>
      <c r="D7" s="6" t="n">
        <v>1150770</v>
      </c>
      <c r="E7" s="6" t="n">
        <v>1477500</v>
      </c>
    </row>
    <row r="8">
      <c r="A8" s="5" t="inlineStr">
        <is>
          <t>Cash</t>
        </is>
      </c>
      <c r="B8" s="6" t="n">
        <v>4100000</v>
      </c>
      <c r="D8" s="6" t="n">
        <v>4100000</v>
      </c>
    </row>
    <row r="9"/>
    <row r="10">
      <c r="A10" s="8" t="inlineStr">
        <is>
          <t>Grand Total</t>
        </is>
      </c>
      <c r="B10" s="9" t="n">
        <v>5995950</v>
      </c>
      <c r="C10" s="9" t="n">
        <v>5944470</v>
      </c>
      <c r="D10" s="9">
        <f>B10-C10</f>
        <v/>
      </c>
    </row>
  </sheetData>
  <mergeCells count="2">
    <mergeCell ref="A2:G2"/>
    <mergeCell ref="A1:G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2026-06-11T16:03:30Z</dcterms:created>
  <dcterms:modified xmlns:dcterms="http://purl.org/dc/terms/" xmlns:xsi="http://www.w3.org/2001/XMLSchema-instance" xsi:type="dcterms:W3CDTF">2026-06-11T16:03:30Z</dcterms:modified>
</cp:coreProperties>
</file>